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 Toback\Desktop\"/>
    </mc:Choice>
  </mc:AlternateContent>
  <xr:revisionPtr revIDLastSave="0" documentId="8_{25482B2E-4096-4B56-8AB2-5A606CF3F73C}" xr6:coauthVersionLast="47" xr6:coauthVersionMax="47" xr10:uidLastSave="{00000000-0000-0000-0000-000000000000}"/>
  <bookViews>
    <workbookView xWindow="-120" yWindow="-120" windowWidth="29040" windowHeight="15840" xr2:uid="{9CD460BA-191C-4427-90B5-17DED93F6860}"/>
  </bookViews>
  <sheets>
    <sheet name="Export" sheetId="3" r:id="rId1"/>
    <sheet name="Prices" sheetId="2" r:id="rId2"/>
    <sheet name="References" sheetId="1" r:id="rId3"/>
  </sheets>
  <definedNames>
    <definedName name="_xlnm._FilterDatabase" localSheetId="0" hidden="1">Export!$A$1:$E$1682</definedName>
    <definedName name="_xlnm._FilterDatabase" localSheetId="2" hidden="1">References!$A$1:$K$1740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99" i="3" l="1"/>
  <c r="C1700" i="3"/>
  <c r="C1701" i="3"/>
  <c r="C1702" i="3"/>
  <c r="C1703" i="3"/>
  <c r="C1704" i="3"/>
  <c r="C1705" i="3"/>
  <c r="C1706" i="3"/>
  <c r="C1707" i="3"/>
  <c r="C1708" i="3"/>
  <c r="C1709" i="3"/>
  <c r="C1710" i="3"/>
  <c r="C1698" i="3"/>
  <c r="C1687" i="3"/>
  <c r="C1688" i="3"/>
  <c r="C1689" i="3"/>
  <c r="C1690" i="3"/>
  <c r="C1691" i="3"/>
  <c r="C1692" i="3"/>
  <c r="C1693" i="3"/>
  <c r="C1694" i="3"/>
  <c r="C1695" i="3"/>
  <c r="C1696" i="3"/>
  <c r="C1697" i="3"/>
  <c r="C1686" i="3"/>
  <c r="C1684" i="3"/>
  <c r="C1685" i="3"/>
  <c r="C1683" i="3"/>
  <c r="C1246" i="3" l="1"/>
  <c r="C1253" i="3"/>
  <c r="C1257" i="3"/>
  <c r="C1294" i="3"/>
  <c r="C1308" i="3"/>
  <c r="C1337" i="3"/>
  <c r="C1418" i="3"/>
  <c r="C1434" i="3"/>
  <c r="C1466" i="3"/>
  <c r="C1474" i="3"/>
  <c r="C10" i="3"/>
  <c r="C40" i="3"/>
  <c r="C43" i="3"/>
  <c r="C1717" i="3" s="1"/>
  <c r="C1716" i="3" s="1"/>
  <c r="C44" i="3"/>
  <c r="C50" i="3"/>
  <c r="C52" i="3"/>
  <c r="C54" i="3"/>
  <c r="C57" i="3"/>
  <c r="C61" i="3"/>
  <c r="C65" i="3"/>
  <c r="C95" i="3"/>
  <c r="C118" i="3"/>
  <c r="C129" i="3"/>
  <c r="C130" i="3"/>
  <c r="C1718" i="3" s="1"/>
  <c r="C1720" i="3" s="1"/>
  <c r="C140" i="3"/>
  <c r="C194" i="3"/>
  <c r="C196" i="3"/>
  <c r="C255" i="3"/>
  <c r="C265" i="3"/>
  <c r="C268" i="3"/>
  <c r="C269" i="3"/>
  <c r="C288" i="3"/>
  <c r="C313" i="3"/>
  <c r="C324" i="3"/>
  <c r="C834" i="3"/>
  <c r="C904" i="3"/>
  <c r="C965" i="3"/>
  <c r="C1031" i="3"/>
  <c r="C1052" i="3"/>
  <c r="C1079" i="3"/>
  <c r="C1084" i="3"/>
  <c r="C1192" i="3"/>
  <c r="D256" i="1" l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100" i="2"/>
  <c r="D99" i="2"/>
  <c r="D98" i="2"/>
  <c r="D97" i="2"/>
  <c r="D101" i="2" s="1"/>
  <c r="C78" i="2"/>
  <c r="G113" i="2" s="1"/>
  <c r="C77" i="2"/>
  <c r="G84" i="2" s="1"/>
  <c r="N69" i="2"/>
  <c r="G69" i="2"/>
  <c r="D69" i="2"/>
  <c r="D356" i="1" s="1"/>
  <c r="C314" i="3" s="1"/>
  <c r="N68" i="2"/>
  <c r="C64" i="2"/>
  <c r="D72" i="2" s="1"/>
  <c r="C63" i="2"/>
  <c r="G63" i="2" s="1"/>
  <c r="J60" i="2"/>
  <c r="K60" i="2" s="1"/>
  <c r="D60" i="2"/>
  <c r="E60" i="2" s="1"/>
  <c r="J59" i="2"/>
  <c r="K59" i="2" s="1"/>
  <c r="D59" i="2"/>
  <c r="E59" i="2" s="1"/>
  <c r="J58" i="2"/>
  <c r="K58" i="2" s="1"/>
  <c r="D58" i="2"/>
  <c r="E58" i="2" s="1"/>
  <c r="J57" i="2"/>
  <c r="K57" i="2" s="1"/>
  <c r="D57" i="2"/>
  <c r="D402" i="1" s="1"/>
  <c r="J54" i="2"/>
  <c r="K54" i="2" s="1"/>
  <c r="D54" i="2"/>
  <c r="E54" i="2" s="1"/>
  <c r="J53" i="2"/>
  <c r="K53" i="2" s="1"/>
  <c r="D53" i="2"/>
  <c r="E53" i="2" s="1"/>
  <c r="J52" i="2"/>
  <c r="K52" i="2" s="1"/>
  <c r="D52" i="2"/>
  <c r="E52" i="2" s="1"/>
  <c r="J51" i="2"/>
  <c r="K51" i="2" s="1"/>
  <c r="D51" i="2"/>
  <c r="E51" i="2" s="1"/>
  <c r="J45" i="2"/>
  <c r="J43" i="2"/>
  <c r="D1318" i="1" s="1"/>
  <c r="C1472" i="3" s="1"/>
  <c r="J39" i="2"/>
  <c r="J37" i="2"/>
  <c r="J35" i="2"/>
  <c r="J33" i="2"/>
  <c r="D1111" i="1" s="1"/>
  <c r="C1370" i="3" s="1"/>
  <c r="J29" i="2"/>
  <c r="K29" i="2" s="1"/>
  <c r="J27" i="2"/>
  <c r="K27" i="2" s="1"/>
  <c r="J25" i="2"/>
  <c r="D47" i="1" s="1"/>
  <c r="C960" i="3" s="1"/>
  <c r="J23" i="2"/>
  <c r="D28" i="1" s="1"/>
  <c r="C703" i="3" s="1"/>
  <c r="J21" i="2"/>
  <c r="D861" i="1" s="1"/>
  <c r="C760" i="3" s="1"/>
  <c r="J19" i="2"/>
  <c r="D849" i="1" s="1"/>
  <c r="C1286" i="3" s="1"/>
  <c r="J17" i="2"/>
  <c r="J15" i="2"/>
  <c r="D35" i="1" s="1"/>
  <c r="C1334" i="3" s="1"/>
  <c r="J13" i="2"/>
  <c r="D49" i="1" s="1"/>
  <c r="C1205" i="3" s="1"/>
  <c r="L11" i="2"/>
  <c r="L10" i="2"/>
  <c r="J10" i="2"/>
  <c r="D10" i="2"/>
  <c r="J9" i="2"/>
  <c r="D9" i="2"/>
  <c r="M8" i="2"/>
  <c r="L8" i="2"/>
  <c r="J8" i="2" s="1"/>
  <c r="D163" i="1" s="1"/>
  <c r="C1458" i="3" s="1"/>
  <c r="J5" i="2"/>
  <c r="J4" i="2"/>
  <c r="D9" i="1" l="1"/>
  <c r="C1357" i="3" s="1"/>
  <c r="D1325" i="1"/>
  <c r="C781" i="3" s="1"/>
  <c r="D25" i="1"/>
  <c r="C933" i="3" s="1"/>
  <c r="D17" i="1"/>
  <c r="C1219" i="3" s="1"/>
  <c r="D30" i="1"/>
  <c r="C707" i="3" s="1"/>
  <c r="C895" i="3"/>
  <c r="C1150" i="3"/>
  <c r="D976" i="1"/>
  <c r="C101" i="3" s="1"/>
  <c r="D13" i="1"/>
  <c r="C1453" i="3" s="1"/>
  <c r="D43" i="1"/>
  <c r="C702" i="3" s="1"/>
  <c r="D1027" i="1"/>
  <c r="C553" i="3" s="1"/>
  <c r="D4" i="1"/>
  <c r="C1266" i="3" s="1"/>
  <c r="D24" i="1"/>
  <c r="C719" i="3" s="1"/>
  <c r="D51" i="1"/>
  <c r="C688" i="3" s="1"/>
  <c r="D358" i="1"/>
  <c r="C718" i="3" s="1"/>
  <c r="D306" i="1"/>
  <c r="C1487" i="3" s="1"/>
  <c r="D1024" i="1"/>
  <c r="C91" i="3" s="1"/>
  <c r="D1054" i="1"/>
  <c r="C859" i="3" s="1"/>
  <c r="D1059" i="1"/>
  <c r="C230" i="3" s="1"/>
  <c r="D1131" i="1"/>
  <c r="C9" i="3" s="1"/>
  <c r="D34" i="1"/>
  <c r="C1250" i="3" s="1"/>
  <c r="D727" i="1"/>
  <c r="C1605" i="3" s="1"/>
  <c r="D742" i="1"/>
  <c r="C1658" i="3" s="1"/>
  <c r="D21" i="1"/>
  <c r="C1196" i="3" s="1"/>
  <c r="D45" i="1"/>
  <c r="C1199" i="3" s="1"/>
  <c r="D38" i="1"/>
  <c r="C1241" i="3" s="1"/>
  <c r="D164" i="1"/>
  <c r="C914" i="3" s="1"/>
  <c r="D162" i="1"/>
  <c r="C836" i="3" s="1"/>
  <c r="G104" i="2"/>
  <c r="D399" i="1" s="1"/>
  <c r="C1560" i="3" s="1"/>
  <c r="D111" i="2"/>
  <c r="D105" i="2" s="1"/>
  <c r="D294" i="1"/>
  <c r="C1484" i="3" s="1"/>
  <c r="G92" i="2"/>
  <c r="D333" i="1"/>
  <c r="D320" i="1"/>
  <c r="C200" i="3" s="1"/>
  <c r="G98" i="2"/>
  <c r="D319" i="1"/>
  <c r="C774" i="3" s="1"/>
  <c r="D293" i="1"/>
  <c r="C1279" i="3" s="1"/>
  <c r="D343" i="1"/>
  <c r="C1506" i="3" s="1"/>
  <c r="K37" i="2"/>
  <c r="D72" i="1"/>
  <c r="C868" i="3" s="1"/>
  <c r="D76" i="1"/>
  <c r="C1406" i="3" s="1"/>
  <c r="D123" i="1"/>
  <c r="C1225" i="3" s="1"/>
  <c r="D127" i="1"/>
  <c r="C877" i="3" s="1"/>
  <c r="D131" i="1"/>
  <c r="C880" i="3" s="1"/>
  <c r="D135" i="1"/>
  <c r="C1437" i="3" s="1"/>
  <c r="D121" i="1"/>
  <c r="C912" i="3" s="1"/>
  <c r="D117" i="1"/>
  <c r="C1237" i="3" s="1"/>
  <c r="D83" i="1"/>
  <c r="C1410" i="3" s="1"/>
  <c r="D87" i="1"/>
  <c r="C1058" i="3" s="1"/>
  <c r="D91" i="1"/>
  <c r="C258" i="3" s="1"/>
  <c r="D133" i="1"/>
  <c r="C1425" i="3" s="1"/>
  <c r="D81" i="1"/>
  <c r="C1118" i="3" s="1"/>
  <c r="D69" i="1"/>
  <c r="C764" i="3" s="1"/>
  <c r="D73" i="1"/>
  <c r="C1311" i="3" s="1"/>
  <c r="D77" i="1"/>
  <c r="C1015" i="3" s="1"/>
  <c r="D124" i="1"/>
  <c r="D128" i="1"/>
  <c r="D132" i="1"/>
  <c r="C1159" i="3" s="1"/>
  <c r="D136" i="1"/>
  <c r="C1352" i="3" s="1"/>
  <c r="D115" i="1"/>
  <c r="C1214" i="3" s="1"/>
  <c r="D103" i="1"/>
  <c r="C812" i="3" s="1"/>
  <c r="D80" i="1"/>
  <c r="C766" i="3" s="1"/>
  <c r="D84" i="1"/>
  <c r="C1432" i="3" s="1"/>
  <c r="D88" i="1"/>
  <c r="C1409" i="3" s="1"/>
  <c r="D92" i="1"/>
  <c r="C114" i="3" s="1"/>
  <c r="D74" i="1"/>
  <c r="C1348" i="3" s="1"/>
  <c r="D125" i="1"/>
  <c r="C1380" i="3" s="1"/>
  <c r="D111" i="1"/>
  <c r="C1178" i="3" s="1"/>
  <c r="D89" i="1"/>
  <c r="C1372" i="3" s="1"/>
  <c r="D71" i="1"/>
  <c r="C1379" i="3" s="1"/>
  <c r="D75" i="1"/>
  <c r="C1330" i="3" s="1"/>
  <c r="D122" i="1"/>
  <c r="C907" i="3" s="1"/>
  <c r="D126" i="1"/>
  <c r="C1204" i="3" s="1"/>
  <c r="D130" i="1"/>
  <c r="C911" i="3" s="1"/>
  <c r="D134" i="1"/>
  <c r="C1443" i="3" s="1"/>
  <c r="D138" i="1"/>
  <c r="C1289" i="3" s="1"/>
  <c r="D118" i="1"/>
  <c r="C1293" i="3" s="1"/>
  <c r="D114" i="1"/>
  <c r="C1195" i="3" s="1"/>
  <c r="D110" i="1"/>
  <c r="C716" i="3" s="1"/>
  <c r="D107" i="1"/>
  <c r="C922" i="3" s="1"/>
  <c r="D82" i="1"/>
  <c r="C1206" i="3" s="1"/>
  <c r="D86" i="1"/>
  <c r="C1168" i="3" s="1"/>
  <c r="D90" i="1"/>
  <c r="C1278" i="3" s="1"/>
  <c r="D70" i="1"/>
  <c r="C1019" i="3" s="1"/>
  <c r="D129" i="1"/>
  <c r="C873" i="3" s="1"/>
  <c r="D137" i="1"/>
  <c r="C1066" i="3" s="1"/>
  <c r="D116" i="1"/>
  <c r="C819" i="3" s="1"/>
  <c r="D85" i="1"/>
  <c r="C1179" i="3" s="1"/>
  <c r="D79" i="1"/>
  <c r="C720" i="3" s="1"/>
  <c r="D463" i="1"/>
  <c r="C874" i="3" s="1"/>
  <c r="D440" i="1"/>
  <c r="C962" i="3" s="1"/>
  <c r="D415" i="1"/>
  <c r="C19" i="3" s="1"/>
  <c r="D808" i="1"/>
  <c r="D842" i="1"/>
  <c r="C174" i="3" s="1"/>
  <c r="D1277" i="1"/>
  <c r="D119" i="1"/>
  <c r="C365" i="3" s="1"/>
  <c r="G81" i="2"/>
  <c r="D933" i="1" s="1"/>
  <c r="C1331" i="3" s="1"/>
  <c r="D462" i="1"/>
  <c r="C145" i="3" s="1"/>
  <c r="D453" i="1"/>
  <c r="C1055" i="3" s="1"/>
  <c r="D445" i="1"/>
  <c r="C973" i="3" s="1"/>
  <c r="D437" i="1"/>
  <c r="C634" i="3" s="1"/>
  <c r="D430" i="1"/>
  <c r="D419" i="1"/>
  <c r="C20" i="3" s="1"/>
  <c r="D412" i="1"/>
  <c r="C17" i="3" s="1"/>
  <c r="D404" i="1"/>
  <c r="C4" i="3" s="1"/>
  <c r="D826" i="1"/>
  <c r="C103" i="3" s="1"/>
  <c r="D820" i="1"/>
  <c r="C138" i="3" s="1"/>
  <c r="D813" i="1"/>
  <c r="D854" i="1"/>
  <c r="C250" i="3" s="1"/>
  <c r="D859" i="1"/>
  <c r="C751" i="3" s="1"/>
  <c r="D731" i="1"/>
  <c r="C1608" i="3" s="1"/>
  <c r="D995" i="1"/>
  <c r="C246" i="3" s="1"/>
  <c r="D1031" i="1"/>
  <c r="C205" i="3" s="1"/>
  <c r="D1064" i="1"/>
  <c r="C883" i="3" s="1"/>
  <c r="D978" i="1"/>
  <c r="C677" i="3" s="1"/>
  <c r="D1072" i="1"/>
  <c r="D751" i="1"/>
  <c r="C838" i="3" s="1"/>
  <c r="D8" i="1"/>
  <c r="C1366" i="3" s="1"/>
  <c r="D20" i="1"/>
  <c r="C829" i="3" s="1"/>
  <c r="D16" i="1"/>
  <c r="C1480" i="3" s="1"/>
  <c r="D12" i="1"/>
  <c r="C940" i="3" s="1"/>
  <c r="D23" i="1"/>
  <c r="D29" i="1"/>
  <c r="C1288" i="3" s="1"/>
  <c r="D39" i="1"/>
  <c r="C68" i="3" s="1"/>
  <c r="C1728" i="3" s="1"/>
  <c r="D33" i="1"/>
  <c r="C1427" i="3" s="1"/>
  <c r="D46" i="1"/>
  <c r="C715" i="3" s="1"/>
  <c r="D448" i="1"/>
  <c r="C936" i="3" s="1"/>
  <c r="D432" i="1"/>
  <c r="C1020" i="3" s="1"/>
  <c r="D407" i="1"/>
  <c r="C713" i="3" s="1"/>
  <c r="D822" i="1"/>
  <c r="C167" i="3" s="1"/>
  <c r="D845" i="1"/>
  <c r="C1646" i="3" s="1"/>
  <c r="D78" i="1"/>
  <c r="D63" i="1"/>
  <c r="C126" i="3" s="1"/>
  <c r="D57" i="1"/>
  <c r="C817" i="3" s="1"/>
  <c r="D52" i="1"/>
  <c r="C1190" i="3" s="1"/>
  <c r="D61" i="1"/>
  <c r="C890" i="3" s="1"/>
  <c r="D59" i="1"/>
  <c r="C1263" i="3" s="1"/>
  <c r="D53" i="1"/>
  <c r="C1298" i="3" s="1"/>
  <c r="D62" i="1"/>
  <c r="C1284" i="3" s="1"/>
  <c r="D60" i="1"/>
  <c r="C901" i="3" s="1"/>
  <c r="K23" i="2"/>
  <c r="D56" i="1"/>
  <c r="C689" i="3" s="1"/>
  <c r="D64" i="1"/>
  <c r="C1141" i="3" s="1"/>
  <c r="D68" i="1"/>
  <c r="C1300" i="3" s="1"/>
  <c r="D113" i="1"/>
  <c r="C923" i="3" s="1"/>
  <c r="D109" i="1"/>
  <c r="C1172" i="3" s="1"/>
  <c r="D105" i="1"/>
  <c r="C711" i="3" s="1"/>
  <c r="D95" i="1"/>
  <c r="C815" i="3" s="1"/>
  <c r="D99" i="1"/>
  <c r="C1123" i="3" s="1"/>
  <c r="D93" i="1"/>
  <c r="C1156" i="3" s="1"/>
  <c r="D65" i="1"/>
  <c r="C887" i="3" s="1"/>
  <c r="D112" i="1"/>
  <c r="C845" i="3" s="1"/>
  <c r="D108" i="1"/>
  <c r="C929" i="3" s="1"/>
  <c r="D96" i="1"/>
  <c r="C858" i="3" s="1"/>
  <c r="D100" i="1"/>
  <c r="C797" i="3" s="1"/>
  <c r="D66" i="1"/>
  <c r="C1269" i="3" s="1"/>
  <c r="D104" i="1"/>
  <c r="C1114" i="3" s="1"/>
  <c r="D101" i="1"/>
  <c r="C725" i="3" s="1"/>
  <c r="D67" i="1"/>
  <c r="C209" i="3" s="1"/>
  <c r="D94" i="1"/>
  <c r="C1433" i="3" s="1"/>
  <c r="D98" i="1"/>
  <c r="C910" i="3" s="1"/>
  <c r="D102" i="1"/>
  <c r="C1201" i="3" s="1"/>
  <c r="D106" i="1"/>
  <c r="C1319" i="3" s="1"/>
  <c r="D97" i="1"/>
  <c r="C1307" i="3" s="1"/>
  <c r="D141" i="1"/>
  <c r="C1455" i="3" s="1"/>
  <c r="D143" i="1"/>
  <c r="C698" i="3" s="1"/>
  <c r="D142" i="1"/>
  <c r="C706" i="3" s="1"/>
  <c r="D140" i="1"/>
  <c r="C700" i="3" s="1"/>
  <c r="D139" i="1"/>
  <c r="C771" i="3" s="1"/>
  <c r="G83" i="2"/>
  <c r="D459" i="1"/>
  <c r="C856" i="3" s="1"/>
  <c r="D452" i="1"/>
  <c r="C952" i="3" s="1"/>
  <c r="D444" i="1"/>
  <c r="C110" i="3" s="1"/>
  <c r="D436" i="1"/>
  <c r="C954" i="3" s="1"/>
  <c r="D427" i="1"/>
  <c r="C730" i="3" s="1"/>
  <c r="D418" i="1"/>
  <c r="C630" i="3" s="1"/>
  <c r="D411" i="1"/>
  <c r="C637" i="3" s="1"/>
  <c r="D403" i="1"/>
  <c r="C1303" i="3" s="1"/>
  <c r="D825" i="1"/>
  <c r="C1654" i="3" s="1"/>
  <c r="D819" i="1"/>
  <c r="C1652" i="3" s="1"/>
  <c r="D812" i="1"/>
  <c r="C1650" i="3" s="1"/>
  <c r="D832" i="1"/>
  <c r="C759" i="3" s="1"/>
  <c r="D836" i="1"/>
  <c r="C1280" i="3" s="1"/>
  <c r="D746" i="1"/>
  <c r="C1184" i="3" s="1"/>
  <c r="D1005" i="1"/>
  <c r="C79" i="3" s="1"/>
  <c r="D1048" i="1"/>
  <c r="D1080" i="1"/>
  <c r="D994" i="1"/>
  <c r="C709" i="3" s="1"/>
  <c r="D1125" i="1"/>
  <c r="C1029" i="3" s="1"/>
  <c r="D1309" i="1"/>
  <c r="C151" i="3" s="1"/>
  <c r="D720" i="1"/>
  <c r="C1665" i="3" s="1"/>
  <c r="D7" i="1"/>
  <c r="C1174" i="3" s="1"/>
  <c r="D19" i="1"/>
  <c r="C1400" i="3" s="1"/>
  <c r="D15" i="1"/>
  <c r="C625" i="3" s="1"/>
  <c r="D11" i="1"/>
  <c r="C214" i="3" s="1"/>
  <c r="D22" i="1"/>
  <c r="C1124" i="3" s="1"/>
  <c r="D27" i="1"/>
  <c r="C747" i="3" s="1"/>
  <c r="D31" i="1"/>
  <c r="C1245" i="3" s="1"/>
  <c r="D37" i="1"/>
  <c r="C1155" i="3" s="1"/>
  <c r="D41" i="1"/>
  <c r="C1182" i="3" s="1"/>
  <c r="D36" i="1"/>
  <c r="C1374" i="3" s="1"/>
  <c r="D50" i="1"/>
  <c r="D456" i="1"/>
  <c r="C111" i="3" s="1"/>
  <c r="D422" i="1"/>
  <c r="D815" i="1"/>
  <c r="C184" i="3" s="1"/>
  <c r="D803" i="1"/>
  <c r="D54" i="1"/>
  <c r="C575" i="3" s="1"/>
  <c r="D55" i="1"/>
  <c r="C574" i="3" s="1"/>
  <c r="D900" i="1"/>
  <c r="D58" i="1"/>
  <c r="C737" i="3" s="1"/>
  <c r="D1220" i="1"/>
  <c r="C778" i="3" s="1"/>
  <c r="D120" i="1"/>
  <c r="C1381" i="3" s="1"/>
  <c r="D156" i="1"/>
  <c r="C1268" i="3" s="1"/>
  <c r="K45" i="2"/>
  <c r="D146" i="1"/>
  <c r="C821" i="3" s="1"/>
  <c r="D144" i="1"/>
  <c r="C893" i="3" s="1"/>
  <c r="D147" i="1"/>
  <c r="C1157" i="3" s="1"/>
  <c r="D148" i="1"/>
  <c r="C825" i="3" s="1"/>
  <c r="D150" i="1"/>
  <c r="C723" i="3" s="1"/>
  <c r="D145" i="1"/>
  <c r="C779" i="3" s="1"/>
  <c r="D149" i="1"/>
  <c r="C1479" i="3" s="1"/>
  <c r="G77" i="2"/>
  <c r="G85" i="2"/>
  <c r="D1133" i="1" s="1"/>
  <c r="C798" i="3" s="1"/>
  <c r="D458" i="1"/>
  <c r="C1021" i="3" s="1"/>
  <c r="D449" i="1"/>
  <c r="C1222" i="3" s="1"/>
  <c r="D441" i="1"/>
  <c r="C28" i="3" s="1"/>
  <c r="D433" i="1"/>
  <c r="C947" i="3" s="1"/>
  <c r="D424" i="1"/>
  <c r="C794" i="3" s="1"/>
  <c r="D416" i="1"/>
  <c r="D408" i="1"/>
  <c r="C14" i="3" s="1"/>
  <c r="D401" i="1"/>
  <c r="C951" i="3" s="1"/>
  <c r="D823" i="1"/>
  <c r="D816" i="1"/>
  <c r="C1136" i="3" s="1"/>
  <c r="D830" i="1"/>
  <c r="C934" i="3" s="1"/>
  <c r="D837" i="1"/>
  <c r="C1644" i="3" s="1"/>
  <c r="D754" i="1"/>
  <c r="C1598" i="3" s="1"/>
  <c r="D1012" i="1"/>
  <c r="C81" i="3" s="1"/>
  <c r="D1050" i="1"/>
  <c r="C215" i="3" s="1"/>
  <c r="D1113" i="1"/>
  <c r="C154" i="3" s="1"/>
  <c r="D1006" i="1"/>
  <c r="D1032" i="1"/>
  <c r="C1110" i="3" s="1"/>
  <c r="D1302" i="1"/>
  <c r="D732" i="1"/>
  <c r="C1350" i="3" s="1"/>
  <c r="D3" i="1"/>
  <c r="D5" i="1"/>
  <c r="C762" i="3" s="1"/>
  <c r="D18" i="1"/>
  <c r="C1457" i="3" s="1"/>
  <c r="D14" i="1"/>
  <c r="C787" i="3" s="1"/>
  <c r="D10" i="1"/>
  <c r="C60" i="3" s="1"/>
  <c r="D6" i="1"/>
  <c r="C763" i="3" s="1"/>
  <c r="D26" i="1"/>
  <c r="C1075" i="3" s="1"/>
  <c r="D32" i="1"/>
  <c r="C1351" i="3" s="1"/>
  <c r="D2" i="1"/>
  <c r="C1420" i="3" s="1"/>
  <c r="D42" i="1"/>
  <c r="C1161" i="3" s="1"/>
  <c r="D40" i="1"/>
  <c r="C1242" i="3" s="1"/>
  <c r="D44" i="1"/>
  <c r="D48" i="1"/>
  <c r="C687" i="3" s="1"/>
  <c r="K13" i="2"/>
  <c r="K21" i="2"/>
  <c r="K25" i="2"/>
  <c r="K35" i="2"/>
  <c r="K39" i="2"/>
  <c r="G64" i="2"/>
  <c r="D83" i="2"/>
  <c r="D87" i="2"/>
  <c r="G93" i="2"/>
  <c r="D112" i="2"/>
  <c r="D106" i="2" s="1"/>
  <c r="D612" i="1"/>
  <c r="C161" i="3" s="1"/>
  <c r="D655" i="1"/>
  <c r="C107" i="3" s="1"/>
  <c r="D694" i="1"/>
  <c r="C198" i="3" s="1"/>
  <c r="D635" i="1"/>
  <c r="C1637" i="3" s="1"/>
  <c r="D676" i="1"/>
  <c r="D693" i="1"/>
  <c r="C1589" i="3" s="1"/>
  <c r="D628" i="1"/>
  <c r="D860" i="1"/>
  <c r="C741" i="3" s="1"/>
  <c r="D1147" i="1"/>
  <c r="C1287" i="3" s="1"/>
  <c r="D1173" i="1"/>
  <c r="C1358" i="3" s="1"/>
  <c r="D465" i="1"/>
  <c r="C1301" i="3" s="1"/>
  <c r="D757" i="1"/>
  <c r="C863" i="3" s="1"/>
  <c r="D750" i="1"/>
  <c r="C1661" i="3" s="1"/>
  <c r="D744" i="1"/>
  <c r="C726" i="3" s="1"/>
  <c r="D737" i="1"/>
  <c r="D729" i="1"/>
  <c r="C1226" i="3" s="1"/>
  <c r="D722" i="1"/>
  <c r="C958" i="3" s="1"/>
  <c r="D718" i="1"/>
  <c r="C1663" i="3" s="1"/>
  <c r="D755" i="1"/>
  <c r="C865" i="3" s="1"/>
  <c r="D749" i="1"/>
  <c r="C1660" i="3" s="1"/>
  <c r="D743" i="1"/>
  <c r="C1659" i="3" s="1"/>
  <c r="D736" i="1"/>
  <c r="C1428" i="3" s="1"/>
  <c r="D726" i="1"/>
  <c r="C1667" i="3" s="1"/>
  <c r="D721" i="1"/>
  <c r="C727" i="3" s="1"/>
  <c r="D717" i="1"/>
  <c r="C791" i="3" s="1"/>
  <c r="D748" i="1"/>
  <c r="C1390" i="3" s="1"/>
  <c r="D739" i="1"/>
  <c r="D725" i="1"/>
  <c r="C1090" i="3" s="1"/>
  <c r="D763" i="1"/>
  <c r="C1603" i="3" s="1"/>
  <c r="D759" i="1"/>
  <c r="C842" i="3" s="1"/>
  <c r="D753" i="1"/>
  <c r="C1460" i="3" s="1"/>
  <c r="D738" i="1"/>
  <c r="C1362" i="3" s="1"/>
  <c r="D730" i="1"/>
  <c r="C1607" i="3" s="1"/>
  <c r="D761" i="1"/>
  <c r="C822" i="3" s="1"/>
  <c r="D745" i="1"/>
  <c r="C1030" i="3" s="1"/>
  <c r="D724" i="1"/>
  <c r="C1666" i="3" s="1"/>
  <c r="D762" i="1"/>
  <c r="C1602" i="3" s="1"/>
  <c r="D758" i="1"/>
  <c r="C1600" i="3" s="1"/>
  <c r="D747" i="1"/>
  <c r="C1597" i="3" s="1"/>
  <c r="D734" i="1"/>
  <c r="C1113" i="3" s="1"/>
  <c r="D728" i="1"/>
  <c r="C1606" i="3" s="1"/>
  <c r="D847" i="1"/>
  <c r="C680" i="3" s="1"/>
  <c r="D855" i="1"/>
  <c r="C1012" i="3" s="1"/>
  <c r="D850" i="1"/>
  <c r="D835" i="1"/>
  <c r="C668" i="3" s="1"/>
  <c r="D831" i="1"/>
  <c r="D851" i="1"/>
  <c r="C176" i="3" s="1"/>
  <c r="D838" i="1"/>
  <c r="C172" i="3" s="1"/>
  <c r="D809" i="1"/>
  <c r="C1056" i="3" s="1"/>
  <c r="D844" i="1"/>
  <c r="C1131" i="3" s="1"/>
  <c r="D858" i="1"/>
  <c r="D848" i="1"/>
  <c r="C885" i="3" s="1"/>
  <c r="D841" i="1"/>
  <c r="D833" i="1"/>
  <c r="C1643" i="3" s="1"/>
  <c r="D827" i="1"/>
  <c r="C1655" i="3" s="1"/>
  <c r="D846" i="1"/>
  <c r="C175" i="3" s="1"/>
  <c r="C1729" i="3" s="1"/>
  <c r="D1105" i="1"/>
  <c r="D1093" i="1"/>
  <c r="C767" i="3" s="1"/>
  <c r="D1046" i="1"/>
  <c r="C806" i="3" s="1"/>
  <c r="D1036" i="1"/>
  <c r="C1059" i="3" s="1"/>
  <c r="D1010" i="1"/>
  <c r="C935" i="3" s="1"/>
  <c r="D989" i="1"/>
  <c r="C852" i="3" s="1"/>
  <c r="D984" i="1"/>
  <c r="D1123" i="1"/>
  <c r="D1118" i="1"/>
  <c r="C999" i="3" s="1"/>
  <c r="D1094" i="1"/>
  <c r="D1091" i="1"/>
  <c r="D1081" i="1"/>
  <c r="C671" i="3" s="1"/>
  <c r="C1734" i="3" s="1"/>
  <c r="D1073" i="1"/>
  <c r="C1243" i="3" s="1"/>
  <c r="D1071" i="1"/>
  <c r="C909" i="3" s="1"/>
  <c r="D1068" i="1"/>
  <c r="D1065" i="1"/>
  <c r="D1055" i="1"/>
  <c r="D1034" i="1"/>
  <c r="C555" i="3" s="1"/>
  <c r="D1025" i="1"/>
  <c r="C749" i="3" s="1"/>
  <c r="D1017" i="1"/>
  <c r="C920" i="3" s="1"/>
  <c r="D1013" i="1"/>
  <c r="C681" i="3" s="1"/>
  <c r="D1008" i="1"/>
  <c r="D998" i="1"/>
  <c r="C988" i="3" s="1"/>
  <c r="D990" i="1"/>
  <c r="C1678" i="3" s="1"/>
  <c r="D985" i="1"/>
  <c r="C704" i="3" s="1"/>
  <c r="D975" i="1"/>
  <c r="C1675" i="3" s="1"/>
  <c r="D970" i="1"/>
  <c r="C676" i="3" s="1"/>
  <c r="D1128" i="1"/>
  <c r="C8" i="3" s="1"/>
  <c r="D1119" i="1"/>
  <c r="C33" i="3" s="1"/>
  <c r="D1103" i="1"/>
  <c r="D1092" i="1"/>
  <c r="D1087" i="1"/>
  <c r="D1082" i="1"/>
  <c r="D1077" i="1"/>
  <c r="C128" i="3" s="1"/>
  <c r="D1120" i="1"/>
  <c r="D1108" i="1"/>
  <c r="D1104" i="1"/>
  <c r="C1310" i="3" s="1"/>
  <c r="D1090" i="1"/>
  <c r="C804" i="3" s="1"/>
  <c r="D1043" i="1"/>
  <c r="C891" i="3" s="1"/>
  <c r="D1033" i="1"/>
  <c r="C768" i="3" s="1"/>
  <c r="D977" i="1"/>
  <c r="C1016" i="3" s="1"/>
  <c r="D1126" i="1"/>
  <c r="D1115" i="1"/>
  <c r="D1099" i="1"/>
  <c r="D1086" i="1"/>
  <c r="D1079" i="1"/>
  <c r="C684" i="3" s="1"/>
  <c r="D1070" i="1"/>
  <c r="C1296" i="3" s="1"/>
  <c r="D1067" i="1"/>
  <c r="C1343" i="3" s="1"/>
  <c r="D1063" i="1"/>
  <c r="C1053" i="3" s="1"/>
  <c r="D1058" i="1"/>
  <c r="D1047" i="1"/>
  <c r="D1041" i="1"/>
  <c r="D1030" i="1"/>
  <c r="C554" i="3" s="1"/>
  <c r="D1016" i="1"/>
  <c r="C1010" i="3" s="1"/>
  <c r="D1011" i="1"/>
  <c r="C1672" i="3" s="1"/>
  <c r="D1004" i="1"/>
  <c r="D996" i="1"/>
  <c r="C1668" i="3" s="1"/>
  <c r="D982" i="1"/>
  <c r="C1676" i="3" s="1"/>
  <c r="D974" i="1"/>
  <c r="C1086" i="3" s="1"/>
  <c r="D1132" i="1"/>
  <c r="C75" i="3" s="1"/>
  <c r="D1127" i="1"/>
  <c r="C169" i="3" s="1"/>
  <c r="D1110" i="1"/>
  <c r="D1100" i="1"/>
  <c r="C70" i="3" s="1"/>
  <c r="D1089" i="1"/>
  <c r="C240" i="3" s="1"/>
  <c r="D1076" i="1"/>
  <c r="C115" i="3" s="1"/>
  <c r="D1066" i="1"/>
  <c r="C18" i="3" s="1"/>
  <c r="D1117" i="1"/>
  <c r="C902" i="3" s="1"/>
  <c r="D1001" i="1"/>
  <c r="D1129" i="1"/>
  <c r="C1094" i="3" s="1"/>
  <c r="D1112" i="1"/>
  <c r="C742" i="3" s="1"/>
  <c r="D1102" i="1"/>
  <c r="D1097" i="1"/>
  <c r="D1075" i="1"/>
  <c r="C1041" i="3" s="1"/>
  <c r="D1051" i="1"/>
  <c r="D1039" i="1"/>
  <c r="C557" i="3" s="1"/>
  <c r="D1023" i="1"/>
  <c r="D1002" i="1"/>
  <c r="C675" i="3" s="1"/>
  <c r="D972" i="1"/>
  <c r="C1674" i="3" s="1"/>
  <c r="D1124" i="1"/>
  <c r="C239" i="3" s="1"/>
  <c r="D1107" i="1"/>
  <c r="C234" i="3" s="1"/>
  <c r="D1095" i="1"/>
  <c r="D1084" i="1"/>
  <c r="D1062" i="1"/>
  <c r="C189" i="3" s="1"/>
  <c r="D1056" i="1"/>
  <c r="D1042" i="1"/>
  <c r="D1028" i="1"/>
  <c r="C204" i="3" s="1"/>
  <c r="D1020" i="1"/>
  <c r="C177" i="3" s="1"/>
  <c r="D1009" i="1"/>
  <c r="C82" i="3" s="1"/>
  <c r="D993" i="1"/>
  <c r="C192" i="3" s="1"/>
  <c r="D981" i="1"/>
  <c r="C71" i="3" s="1"/>
  <c r="D973" i="1"/>
  <c r="C100" i="3" s="1"/>
  <c r="D1096" i="1"/>
  <c r="D1040" i="1"/>
  <c r="D991" i="1"/>
  <c r="C854" i="3" s="1"/>
  <c r="D1121" i="1"/>
  <c r="D1106" i="1"/>
  <c r="D1088" i="1"/>
  <c r="D1074" i="1"/>
  <c r="C816" i="3" s="1"/>
  <c r="D1061" i="1"/>
  <c r="D1049" i="1"/>
  <c r="C984" i="3" s="1"/>
  <c r="D1037" i="1"/>
  <c r="C556" i="3" s="1"/>
  <c r="D1018" i="1"/>
  <c r="C906" i="3" s="1"/>
  <c r="D999" i="1"/>
  <c r="C1669" i="3" s="1"/>
  <c r="D987" i="1"/>
  <c r="D971" i="1"/>
  <c r="C736" i="3" s="1"/>
  <c r="D1122" i="1"/>
  <c r="C238" i="3" s="1"/>
  <c r="D1060" i="1"/>
  <c r="C1187" i="3" s="1"/>
  <c r="D1053" i="1"/>
  <c r="C119" i="3" s="1"/>
  <c r="D1026" i="1"/>
  <c r="C203" i="3" s="1"/>
  <c r="D1019" i="1"/>
  <c r="C195" i="3" s="1"/>
  <c r="D1007" i="1"/>
  <c r="C80" i="3" s="1"/>
  <c r="C1737" i="3" s="1"/>
  <c r="D1000" i="1"/>
  <c r="D988" i="1"/>
  <c r="C32" i="3" s="1"/>
  <c r="D979" i="1"/>
  <c r="C121" i="3" s="1"/>
  <c r="D1319" i="1"/>
  <c r="C898" i="3" s="1"/>
  <c r="D1323" i="1"/>
  <c r="C780" i="3" s="1"/>
  <c r="D1327" i="1"/>
  <c r="C685" i="3" s="1"/>
  <c r="D1315" i="1"/>
  <c r="D1311" i="1"/>
  <c r="D1304" i="1"/>
  <c r="C1046" i="3" s="1"/>
  <c r="D1300" i="1"/>
  <c r="D1293" i="1"/>
  <c r="D1291" i="1"/>
  <c r="D1287" i="1"/>
  <c r="C1060" i="3" s="1"/>
  <c r="D1281" i="1"/>
  <c r="C678" i="3" s="1"/>
  <c r="D1307" i="1"/>
  <c r="C158" i="3" s="1"/>
  <c r="D1282" i="1"/>
  <c r="D1320" i="1"/>
  <c r="C786" i="3" s="1"/>
  <c r="D1324" i="1"/>
  <c r="C1175" i="3" s="1"/>
  <c r="D1298" i="1"/>
  <c r="C1065" i="3" s="1"/>
  <c r="D1314" i="1"/>
  <c r="C1083" i="3" s="1"/>
  <c r="D1308" i="1"/>
  <c r="C974" i="3" s="1"/>
  <c r="D1299" i="1"/>
  <c r="C1087" i="3" s="1"/>
  <c r="D1295" i="1"/>
  <c r="D1290" i="1"/>
  <c r="C1108" i="3" s="1"/>
  <c r="D1316" i="1"/>
  <c r="C45" i="3" s="1"/>
  <c r="D1305" i="1"/>
  <c r="C221" i="3" s="1"/>
  <c r="D1297" i="1"/>
  <c r="D1292" i="1"/>
  <c r="D1286" i="1"/>
  <c r="D1280" i="1"/>
  <c r="C281" i="3" s="1"/>
  <c r="D1321" i="1"/>
  <c r="C913" i="3" s="1"/>
  <c r="D1317" i="1"/>
  <c r="C587" i="3" s="1"/>
  <c r="D1285" i="1"/>
  <c r="D1303" i="1"/>
  <c r="C292" i="3" s="1"/>
  <c r="D1279" i="1"/>
  <c r="C150" i="3" s="1"/>
  <c r="D1322" i="1"/>
  <c r="C692" i="3" s="1"/>
  <c r="D1306" i="1"/>
  <c r="D1296" i="1"/>
  <c r="D1283" i="1"/>
  <c r="C679" i="3" s="1"/>
  <c r="D1301" i="1"/>
  <c r="C291" i="3" s="1"/>
  <c r="D1289" i="1"/>
  <c r="G71" i="2"/>
  <c r="G78" i="2"/>
  <c r="D88" i="2"/>
  <c r="D110" i="2"/>
  <c r="C1711" i="3" s="1"/>
  <c r="G112" i="2"/>
  <c r="D461" i="1"/>
  <c r="C1112" i="3" s="1"/>
  <c r="D455" i="1"/>
  <c r="D451" i="1"/>
  <c r="C636" i="3" s="1"/>
  <c r="D447" i="1"/>
  <c r="C223" i="3" s="1"/>
  <c r="D443" i="1"/>
  <c r="C635" i="3" s="1"/>
  <c r="D439" i="1"/>
  <c r="C1091" i="3" s="1"/>
  <c r="D435" i="1"/>
  <c r="C84" i="3" s="1"/>
  <c r="D431" i="1"/>
  <c r="C944" i="3" s="1"/>
  <c r="D429" i="1"/>
  <c r="D426" i="1"/>
  <c r="D421" i="1"/>
  <c r="C1040" i="3" s="1"/>
  <c r="D417" i="1"/>
  <c r="C629" i="3" s="1"/>
  <c r="D414" i="1"/>
  <c r="C628" i="3" s="1"/>
  <c r="D410" i="1"/>
  <c r="C966" i="3" s="1"/>
  <c r="D406" i="1"/>
  <c r="C59" i="3" s="1"/>
  <c r="D829" i="1"/>
  <c r="C1255" i="3" s="1"/>
  <c r="D824" i="1"/>
  <c r="C66" i="3" s="1"/>
  <c r="D818" i="1"/>
  <c r="C233" i="3" s="1"/>
  <c r="D814" i="1"/>
  <c r="C670" i="3" s="1"/>
  <c r="D811" i="1"/>
  <c r="C1039" i="3" s="1"/>
  <c r="D834" i="1"/>
  <c r="C171" i="3" s="1"/>
  <c r="D857" i="1"/>
  <c r="C181" i="3" s="1"/>
  <c r="D613" i="1"/>
  <c r="C229" i="3" s="1"/>
  <c r="D636" i="1"/>
  <c r="C168" i="3" s="1"/>
  <c r="D658" i="1"/>
  <c r="C131" i="3" s="1"/>
  <c r="D677" i="1"/>
  <c r="D697" i="1"/>
  <c r="C149" i="3" s="1"/>
  <c r="D716" i="1"/>
  <c r="C183" i="3" s="1"/>
  <c r="D839" i="1"/>
  <c r="C669" i="3" s="1"/>
  <c r="D853" i="1"/>
  <c r="D596" i="1"/>
  <c r="C734" i="3" s="1"/>
  <c r="D615" i="1"/>
  <c r="C1625" i="3" s="1"/>
  <c r="D638" i="1"/>
  <c r="C963" i="3" s="1"/>
  <c r="D657" i="1"/>
  <c r="D685" i="1"/>
  <c r="D696" i="1"/>
  <c r="D708" i="1"/>
  <c r="C1594" i="3" s="1"/>
  <c r="D852" i="1"/>
  <c r="C1345" i="3" s="1"/>
  <c r="D617" i="1"/>
  <c r="C1628" i="3" s="1"/>
  <c r="D663" i="1"/>
  <c r="D868" i="1"/>
  <c r="C1032" i="3" s="1"/>
  <c r="D882" i="1"/>
  <c r="C1613" i="3" s="1"/>
  <c r="D733" i="1"/>
  <c r="C1074" i="3" s="1"/>
  <c r="D756" i="1"/>
  <c r="C1599" i="3" s="1"/>
  <c r="D800" i="1"/>
  <c r="D997" i="1"/>
  <c r="C76" i="3" s="1"/>
  <c r="D1014" i="1"/>
  <c r="C105" i="3" s="1"/>
  <c r="D1035" i="1"/>
  <c r="D1052" i="1"/>
  <c r="C216" i="3" s="1"/>
  <c r="D1069" i="1"/>
  <c r="D1116" i="1"/>
  <c r="D980" i="1"/>
  <c r="C750" i="3" s="1"/>
  <c r="D1029" i="1"/>
  <c r="C1047" i="3" s="1"/>
  <c r="D1057" i="1"/>
  <c r="C1132" i="3" s="1"/>
  <c r="D986" i="1"/>
  <c r="D1085" i="1"/>
  <c r="C772" i="3" s="1"/>
  <c r="D1114" i="1"/>
  <c r="D1174" i="1"/>
  <c r="C570" i="3" s="1"/>
  <c r="D1148" i="1"/>
  <c r="C1217" i="3" s="1"/>
  <c r="D1188" i="1"/>
  <c r="C612" i="3" s="1"/>
  <c r="D1284" i="1"/>
  <c r="C284" i="3" s="1"/>
  <c r="D1312" i="1"/>
  <c r="C224" i="3" s="1"/>
  <c r="D1313" i="1"/>
  <c r="C978" i="3" s="1"/>
  <c r="D1310" i="1"/>
  <c r="C1412" i="3" s="1"/>
  <c r="D735" i="1"/>
  <c r="C1376" i="3" s="1"/>
  <c r="D752" i="1"/>
  <c r="C1662" i="3" s="1"/>
  <c r="D1183" i="1"/>
  <c r="C1462" i="3" s="1"/>
  <c r="D359" i="1"/>
  <c r="C1514" i="3" s="1"/>
  <c r="D321" i="1"/>
  <c r="C1494" i="3" s="1"/>
  <c r="D542" i="1"/>
  <c r="C1177" i="3" s="1"/>
  <c r="D513" i="1"/>
  <c r="D1227" i="1"/>
  <c r="C402" i="3" s="1"/>
  <c r="D475" i="1"/>
  <c r="D477" i="1"/>
  <c r="C1411" i="3" s="1"/>
  <c r="D482" i="1"/>
  <c r="C770" i="3" s="1"/>
  <c r="D485" i="1"/>
  <c r="D489" i="1"/>
  <c r="C1211" i="3" s="1"/>
  <c r="D487" i="1"/>
  <c r="D490" i="1"/>
  <c r="D496" i="1"/>
  <c r="C1101" i="3" s="1"/>
  <c r="D499" i="1"/>
  <c r="C401" i="3" s="1"/>
  <c r="D502" i="1"/>
  <c r="C1004" i="3" s="1"/>
  <c r="D506" i="1"/>
  <c r="C303" i="3" s="1"/>
  <c r="D508" i="1"/>
  <c r="C1063" i="3" s="1"/>
  <c r="D514" i="1"/>
  <c r="C595" i="3" s="1"/>
  <c r="D518" i="1"/>
  <c r="C386" i="3" s="1"/>
  <c r="D522" i="1"/>
  <c r="C1395" i="3" s="1"/>
  <c r="D526" i="1"/>
  <c r="D529" i="1"/>
  <c r="C349" i="3" s="1"/>
  <c r="D532" i="1"/>
  <c r="C1220" i="3" s="1"/>
  <c r="D536" i="1"/>
  <c r="C458" i="3" s="1"/>
  <c r="D540" i="1"/>
  <c r="C1005" i="3" s="1"/>
  <c r="D466" i="1"/>
  <c r="D464" i="1"/>
  <c r="C293" i="3" s="1"/>
  <c r="D478" i="1"/>
  <c r="D480" i="1"/>
  <c r="C1162" i="3" s="1"/>
  <c r="D484" i="1"/>
  <c r="C298" i="3" s="1"/>
  <c r="D488" i="1"/>
  <c r="D493" i="1"/>
  <c r="C299" i="3" s="1"/>
  <c r="D497" i="1"/>
  <c r="C69" i="3" s="1"/>
  <c r="D500" i="1"/>
  <c r="D503" i="1"/>
  <c r="C133" i="3" s="1"/>
  <c r="D507" i="1"/>
  <c r="D509" i="1"/>
  <c r="C1025" i="3" s="1"/>
  <c r="D512" i="1"/>
  <c r="C304" i="3" s="1"/>
  <c r="D515" i="1"/>
  <c r="C31" i="3" s="1"/>
  <c r="D519" i="1"/>
  <c r="C540" i="3" s="1"/>
  <c r="D523" i="1"/>
  <c r="C1121" i="3" s="1"/>
  <c r="D530" i="1"/>
  <c r="C1213" i="3" s="1"/>
  <c r="D533" i="1"/>
  <c r="C336" i="3" s="1"/>
  <c r="D537" i="1"/>
  <c r="C1321" i="3" s="1"/>
  <c r="D541" i="1"/>
  <c r="C380" i="3" s="1"/>
  <c r="D469" i="1"/>
  <c r="C1235" i="3" s="1"/>
  <c r="D472" i="1"/>
  <c r="C193" i="3" s="1"/>
  <c r="D491" i="1"/>
  <c r="C950" i="3" s="1"/>
  <c r="D494" i="1"/>
  <c r="D498" i="1"/>
  <c r="D504" i="1"/>
  <c r="C724" i="3" s="1"/>
  <c r="D510" i="1"/>
  <c r="C1349" i="3" s="1"/>
  <c r="D516" i="1"/>
  <c r="C1236" i="3" s="1"/>
  <c r="D524" i="1"/>
  <c r="C537" i="3" s="1"/>
  <c r="D531" i="1"/>
  <c r="D538" i="1"/>
  <c r="C363" i="3" s="1"/>
  <c r="D467" i="1"/>
  <c r="C113" i="3" s="1"/>
  <c r="D473" i="1"/>
  <c r="C588" i="3" s="1"/>
  <c r="D479" i="1"/>
  <c r="D486" i="1"/>
  <c r="C1363" i="3" s="1"/>
  <c r="D492" i="1"/>
  <c r="D505" i="1"/>
  <c r="C594" i="3" s="1"/>
  <c r="D511" i="1"/>
  <c r="D517" i="1"/>
  <c r="C1364" i="3" s="1"/>
  <c r="D525" i="1"/>
  <c r="C976" i="3" s="1"/>
  <c r="D539" i="1"/>
  <c r="C1382" i="3" s="1"/>
  <c r="D468" i="1"/>
  <c r="D474" i="1"/>
  <c r="C296" i="3" s="1"/>
  <c r="D495" i="1"/>
  <c r="D520" i="1"/>
  <c r="C539" i="3" s="1"/>
  <c r="D534" i="1"/>
  <c r="C462" i="3" s="1"/>
  <c r="D470" i="1"/>
  <c r="C295" i="3" s="1"/>
  <c r="D476" i="1"/>
  <c r="D521" i="1"/>
  <c r="C1407" i="3" s="1"/>
  <c r="D535" i="1"/>
  <c r="C1210" i="3" s="1"/>
  <c r="D471" i="1"/>
  <c r="D701" i="1"/>
  <c r="C1081" i="3" s="1"/>
  <c r="D689" i="1"/>
  <c r="D684" i="1"/>
  <c r="D678" i="1"/>
  <c r="C1580" i="3" s="1"/>
  <c r="D675" i="1"/>
  <c r="D666" i="1"/>
  <c r="C661" i="3" s="1"/>
  <c r="D648" i="1"/>
  <c r="C1098" i="3" s="1"/>
  <c r="D634" i="1"/>
  <c r="C1638" i="3" s="1"/>
  <c r="D614" i="1"/>
  <c r="D605" i="1"/>
  <c r="C1068" i="3" s="1"/>
  <c r="D713" i="1"/>
  <c r="C990" i="3" s="1"/>
  <c r="D705" i="1"/>
  <c r="C1077" i="3" s="1"/>
  <c r="D679" i="1"/>
  <c r="D669" i="1"/>
  <c r="D664" i="1"/>
  <c r="D659" i="1"/>
  <c r="D651" i="1"/>
  <c r="C1061" i="3" s="1"/>
  <c r="D643" i="1"/>
  <c r="C1106" i="3" s="1"/>
  <c r="D632" i="1"/>
  <c r="C1636" i="3" s="1"/>
  <c r="D621" i="1"/>
  <c r="C1629" i="3" s="1"/>
  <c r="D608" i="1"/>
  <c r="C1621" i="3" s="1"/>
  <c r="D712" i="1"/>
  <c r="C155" i="3" s="1"/>
  <c r="D703" i="1"/>
  <c r="C245" i="3" s="1"/>
  <c r="D691" i="1"/>
  <c r="C148" i="3" s="1"/>
  <c r="D688" i="1"/>
  <c r="D680" i="1"/>
  <c r="D674" i="1"/>
  <c r="D662" i="1"/>
  <c r="C136" i="3" s="1"/>
  <c r="D654" i="1"/>
  <c r="C217" i="3" s="1"/>
  <c r="D642" i="1"/>
  <c r="C88" i="3" s="1"/>
  <c r="D630" i="1"/>
  <c r="C166" i="3" s="1"/>
  <c r="D619" i="1"/>
  <c r="C47" i="3" s="1"/>
  <c r="D609" i="1"/>
  <c r="C160" i="3" s="1"/>
  <c r="D597" i="1"/>
  <c r="C39" i="3" s="1"/>
  <c r="D710" i="1"/>
  <c r="C1596" i="3" s="1"/>
  <c r="D698" i="1"/>
  <c r="C1028" i="3" s="1"/>
  <c r="D692" i="1"/>
  <c r="D672" i="1"/>
  <c r="D645" i="1"/>
  <c r="C946" i="3" s="1"/>
  <c r="D631" i="1"/>
  <c r="C968" i="3" s="1"/>
  <c r="D625" i="1"/>
  <c r="D620" i="1"/>
  <c r="D602" i="1"/>
  <c r="C1620" i="3" s="1"/>
  <c r="D711" i="1"/>
  <c r="C1595" i="3" s="1"/>
  <c r="D690" i="1"/>
  <c r="D673" i="1"/>
  <c r="D667" i="1"/>
  <c r="C662" i="3" s="1"/>
  <c r="D661" i="1"/>
  <c r="C665" i="3" s="1"/>
  <c r="D649" i="1"/>
  <c r="C1642" i="3" s="1"/>
  <c r="D641" i="1"/>
  <c r="C1639" i="3" s="1"/>
  <c r="D629" i="1"/>
  <c r="C1635" i="3" s="1"/>
  <c r="D618" i="1"/>
  <c r="C1627" i="3" s="1"/>
  <c r="D606" i="1"/>
  <c r="C721" i="3" s="1"/>
  <c r="D598" i="1"/>
  <c r="D700" i="1"/>
  <c r="C232" i="3" s="1"/>
  <c r="D683" i="1"/>
  <c r="D660" i="1"/>
  <c r="C135" i="3" s="1"/>
  <c r="D652" i="1"/>
  <c r="C109" i="3" s="1"/>
  <c r="D639" i="1"/>
  <c r="C237" i="3" s="1"/>
  <c r="D627" i="1"/>
  <c r="C164" i="3" s="1"/>
  <c r="D616" i="1"/>
  <c r="C162" i="3" s="1"/>
  <c r="D604" i="1"/>
  <c r="C159" i="3" s="1"/>
  <c r="D595" i="1"/>
  <c r="C146" i="3" s="1"/>
  <c r="D804" i="1"/>
  <c r="C601" i="3" s="1"/>
  <c r="D799" i="1"/>
  <c r="D795" i="1"/>
  <c r="C609" i="3" s="1"/>
  <c r="D807" i="1"/>
  <c r="C604" i="3" s="1"/>
  <c r="D802" i="1"/>
  <c r="D798" i="1"/>
  <c r="C739" i="3" s="1"/>
  <c r="D794" i="1"/>
  <c r="C608" i="3" s="1"/>
  <c r="D792" i="1"/>
  <c r="D874" i="1"/>
  <c r="C793" i="3" s="1"/>
  <c r="D862" i="1"/>
  <c r="C792" i="3" s="1"/>
  <c r="D880" i="1"/>
  <c r="C1464" i="3" s="1"/>
  <c r="D873" i="1"/>
  <c r="C765" i="3" s="1"/>
  <c r="D884" i="1"/>
  <c r="C975" i="3" s="1"/>
  <c r="D879" i="1"/>
  <c r="C1611" i="3" s="1"/>
  <c r="D870" i="1"/>
  <c r="C1356" i="3" s="1"/>
  <c r="D867" i="1"/>
  <c r="D863" i="1"/>
  <c r="C1614" i="3" s="1"/>
  <c r="D876" i="1"/>
  <c r="C899" i="3" s="1"/>
  <c r="D872" i="1"/>
  <c r="C738" i="3" s="1"/>
  <c r="D883" i="1"/>
  <c r="C1076" i="3" s="1"/>
  <c r="D878" i="1"/>
  <c r="C1610" i="3" s="1"/>
  <c r="D869" i="1"/>
  <c r="C1018" i="3" s="1"/>
  <c r="D866" i="1"/>
  <c r="C1617" i="3" s="1"/>
  <c r="D919" i="1"/>
  <c r="C808" i="3" s="1"/>
  <c r="D915" i="1"/>
  <c r="C430" i="3" s="1"/>
  <c r="D911" i="1"/>
  <c r="C426" i="3" s="1"/>
  <c r="D907" i="1"/>
  <c r="C527" i="3" s="1"/>
  <c r="D905" i="1"/>
  <c r="C543" i="3" s="1"/>
  <c r="D901" i="1"/>
  <c r="C423" i="3" s="1"/>
  <c r="D898" i="1"/>
  <c r="C511" i="3" s="1"/>
  <c r="D894" i="1"/>
  <c r="C376" i="3" s="1"/>
  <c r="D890" i="1"/>
  <c r="C432" i="3" s="1"/>
  <c r="D887" i="1"/>
  <c r="D922" i="1"/>
  <c r="C521" i="3" s="1"/>
  <c r="D918" i="1"/>
  <c r="C371" i="3" s="1"/>
  <c r="D914" i="1"/>
  <c r="C429" i="3" s="1"/>
  <c r="D910" i="1"/>
  <c r="C398" i="3" s="1"/>
  <c r="D904" i="1"/>
  <c r="C424" i="3" s="1"/>
  <c r="D897" i="1"/>
  <c r="C393" i="3" s="1"/>
  <c r="D893" i="1"/>
  <c r="C407" i="3" s="1"/>
  <c r="D889" i="1"/>
  <c r="C379" i="3" s="1"/>
  <c r="D886" i="1"/>
  <c r="C504" i="3" s="1"/>
  <c r="D917" i="1"/>
  <c r="C431" i="3" s="1"/>
  <c r="D909" i="1"/>
  <c r="C425" i="3" s="1"/>
  <c r="D903" i="1"/>
  <c r="C468" i="3" s="1"/>
  <c r="D896" i="1"/>
  <c r="C374" i="3" s="1"/>
  <c r="D888" i="1"/>
  <c r="C442" i="3" s="1"/>
  <c r="D916" i="1"/>
  <c r="C397" i="3" s="1"/>
  <c r="D908" i="1"/>
  <c r="C343" i="3" s="1"/>
  <c r="D902" i="1"/>
  <c r="C384" i="3" s="1"/>
  <c r="D895" i="1"/>
  <c r="C340" i="3" s="1"/>
  <c r="D921" i="1"/>
  <c r="C526" i="3" s="1"/>
  <c r="D892" i="1"/>
  <c r="C352" i="3" s="1"/>
  <c r="D920" i="1"/>
  <c r="C328" i="3" s="1"/>
  <c r="D906" i="1"/>
  <c r="D891" i="1"/>
  <c r="C433" i="3" s="1"/>
  <c r="D913" i="1"/>
  <c r="C361" i="3" s="1"/>
  <c r="D885" i="1"/>
  <c r="C375" i="3" s="1"/>
  <c r="D912" i="1"/>
  <c r="C427" i="3" s="1"/>
  <c r="D1211" i="1"/>
  <c r="C1367" i="3" s="1"/>
  <c r="D1203" i="1"/>
  <c r="C722" i="3" s="1"/>
  <c r="D1199" i="1"/>
  <c r="D1189" i="1"/>
  <c r="C1232" i="3" s="1"/>
  <c r="D1171" i="1"/>
  <c r="C712" i="3" s="1"/>
  <c r="D1165" i="1"/>
  <c r="C1209" i="3" s="1"/>
  <c r="D1142" i="1"/>
  <c r="C1173" i="3" s="1"/>
  <c r="D1198" i="1"/>
  <c r="C617" i="3" s="1"/>
  <c r="D1193" i="1"/>
  <c r="D1155" i="1"/>
  <c r="C1092" i="3" s="1"/>
  <c r="D1146" i="1"/>
  <c r="C746" i="3" s="1"/>
  <c r="D1219" i="1"/>
  <c r="C1386" i="3" s="1"/>
  <c r="D1215" i="1"/>
  <c r="C969" i="3" s="1"/>
  <c r="D1208" i="1"/>
  <c r="C1341" i="3" s="1"/>
  <c r="D1187" i="1"/>
  <c r="C1336" i="3" s="1"/>
  <c r="D1181" i="1"/>
  <c r="C1387" i="3" s="1"/>
  <c r="D1176" i="1"/>
  <c r="C572" i="3" s="1"/>
  <c r="D1172" i="1"/>
  <c r="D1152" i="1"/>
  <c r="C953" i="3" s="1"/>
  <c r="D1209" i="1"/>
  <c r="C1254" i="3" s="1"/>
  <c r="D1197" i="1"/>
  <c r="C717" i="3" s="1"/>
  <c r="D1186" i="1"/>
  <c r="C871" i="3" s="1"/>
  <c r="D1170" i="1"/>
  <c r="C1424" i="3" s="1"/>
  <c r="D1163" i="1"/>
  <c r="C708" i="3" s="1"/>
  <c r="D1141" i="1"/>
  <c r="C1247" i="3" s="1"/>
  <c r="D1196" i="1"/>
  <c r="C616" i="3" s="1"/>
  <c r="D1192" i="1"/>
  <c r="C614" i="3" s="1"/>
  <c r="D1190" i="1"/>
  <c r="D1166" i="1"/>
  <c r="D1162" i="1"/>
  <c r="D1158" i="1"/>
  <c r="D1150" i="1"/>
  <c r="C1378" i="3" s="1"/>
  <c r="D1145" i="1"/>
  <c r="C1033" i="3" s="1"/>
  <c r="D1218" i="1"/>
  <c r="C1080" i="3" s="1"/>
  <c r="D1213" i="1"/>
  <c r="C967" i="3" s="1"/>
  <c r="D1206" i="1"/>
  <c r="D1185" i="1"/>
  <c r="C1318" i="3" s="1"/>
  <c r="D1179" i="1"/>
  <c r="C996" i="3" s="1"/>
  <c r="D1175" i="1"/>
  <c r="C1071" i="3" s="1"/>
  <c r="D1168" i="1"/>
  <c r="C569" i="3" s="1"/>
  <c r="D1151" i="1"/>
  <c r="C1447" i="3" s="1"/>
  <c r="D1205" i="1"/>
  <c r="C752" i="3" s="1"/>
  <c r="D1169" i="1"/>
  <c r="C1264" i="3" s="1"/>
  <c r="D1140" i="1"/>
  <c r="C1475" i="3" s="1"/>
  <c r="D1164" i="1"/>
  <c r="C1228" i="3" s="1"/>
  <c r="D1157" i="1"/>
  <c r="C620" i="3" s="1"/>
  <c r="D1139" i="1"/>
  <c r="C761" i="3" s="1"/>
  <c r="D1212" i="1"/>
  <c r="C567" i="3" s="1"/>
  <c r="D1178" i="1"/>
  <c r="C1109" i="3" s="1"/>
  <c r="D1159" i="1"/>
  <c r="C1200" i="3" s="1"/>
  <c r="D1204" i="1"/>
  <c r="C994" i="3" s="1"/>
  <c r="D1194" i="1"/>
  <c r="D1167" i="1"/>
  <c r="C1130" i="3" s="1"/>
  <c r="D1200" i="1"/>
  <c r="C618" i="3" s="1"/>
  <c r="D1191" i="1"/>
  <c r="D1156" i="1"/>
  <c r="C619" i="3" s="1"/>
  <c r="D1138" i="1"/>
  <c r="C1089" i="3" s="1"/>
  <c r="D1210" i="1"/>
  <c r="C1239" i="3" s="1"/>
  <c r="D1202" i="1"/>
  <c r="D1177" i="1"/>
  <c r="C573" i="3" s="1"/>
  <c r="D1154" i="1"/>
  <c r="C888" i="3" s="1"/>
  <c r="D1275" i="1"/>
  <c r="D1269" i="1"/>
  <c r="C362" i="3" s="1"/>
  <c r="D1265" i="1"/>
  <c r="C474" i="3" s="1"/>
  <c r="D1261" i="1"/>
  <c r="C469" i="3" s="1"/>
  <c r="D1258" i="1"/>
  <c r="C461" i="3" s="1"/>
  <c r="D1254" i="1"/>
  <c r="C532" i="3" s="1"/>
  <c r="D1251" i="1"/>
  <c r="D1248" i="1"/>
  <c r="C454" i="3" s="1"/>
  <c r="D1241" i="1"/>
  <c r="C391" i="3" s="1"/>
  <c r="D1238" i="1"/>
  <c r="D1234" i="1"/>
  <c r="C470" i="3" s="1"/>
  <c r="D1230" i="1"/>
  <c r="C378" i="3" s="1"/>
  <c r="D1226" i="1"/>
  <c r="C356" i="3" s="1"/>
  <c r="D1222" i="1"/>
  <c r="C332" i="3" s="1"/>
  <c r="D1276" i="1"/>
  <c r="D1274" i="1"/>
  <c r="C404" i="3" s="1"/>
  <c r="D1272" i="1"/>
  <c r="D1268" i="1"/>
  <c r="C493" i="3" s="1"/>
  <c r="D1264" i="1"/>
  <c r="C339" i="3" s="1"/>
  <c r="D1260" i="1"/>
  <c r="C327" i="3" s="1"/>
  <c r="D1257" i="1"/>
  <c r="C348" i="3" s="1"/>
  <c r="D1253" i="1"/>
  <c r="C403" i="3" s="1"/>
  <c r="D1250" i="1"/>
  <c r="C525" i="3" s="1"/>
  <c r="D1247" i="1"/>
  <c r="C452" i="3" s="1"/>
  <c r="D1244" i="1"/>
  <c r="D1240" i="1"/>
  <c r="C428" i="3" s="1"/>
  <c r="D1237" i="1"/>
  <c r="C523" i="3" s="1"/>
  <c r="D1233" i="1"/>
  <c r="C520" i="3" s="1"/>
  <c r="D1229" i="1"/>
  <c r="C406" i="3" s="1"/>
  <c r="D1225" i="1"/>
  <c r="C350" i="3" s="1"/>
  <c r="D1221" i="1"/>
  <c r="C514" i="3" s="1"/>
  <c r="D1278" i="1"/>
  <c r="D1273" i="1"/>
  <c r="C471" i="3" s="1"/>
  <c r="D1267" i="1"/>
  <c r="C412" i="3" s="1"/>
  <c r="D1252" i="1"/>
  <c r="C535" i="3" s="1"/>
  <c r="D1246" i="1"/>
  <c r="C369" i="3" s="1"/>
  <c r="D1239" i="1"/>
  <c r="C329" i="3" s="1"/>
  <c r="D1232" i="1"/>
  <c r="C330" i="3" s="1"/>
  <c r="D1224" i="1"/>
  <c r="C533" i="3" s="1"/>
  <c r="D1266" i="1"/>
  <c r="C512" i="3" s="1"/>
  <c r="D1259" i="1"/>
  <c r="D1245" i="1"/>
  <c r="C501" i="3" s="1"/>
  <c r="D1231" i="1"/>
  <c r="C355" i="3" s="1"/>
  <c r="D1223" i="1"/>
  <c r="C342" i="3" s="1"/>
  <c r="D1263" i="1"/>
  <c r="C460" i="3" s="1"/>
  <c r="D1236" i="1"/>
  <c r="C450" i="3" s="1"/>
  <c r="D1262" i="1"/>
  <c r="C500" i="3" s="1"/>
  <c r="D1249" i="1"/>
  <c r="D1235" i="1"/>
  <c r="C519" i="3" s="1"/>
  <c r="D1271" i="1"/>
  <c r="C347" i="3" s="1"/>
  <c r="C1721" i="3" s="1"/>
  <c r="D1243" i="1"/>
  <c r="C392" i="3" s="1"/>
  <c r="D1270" i="1"/>
  <c r="C457" i="3" s="1"/>
  <c r="D1242" i="1"/>
  <c r="C516" i="3" s="1"/>
  <c r="D601" i="1"/>
  <c r="C157" i="3" s="1"/>
  <c r="D650" i="1"/>
  <c r="C29" i="3" s="1"/>
  <c r="D670" i="1"/>
  <c r="D709" i="1"/>
  <c r="D603" i="1"/>
  <c r="C1619" i="3" s="1"/>
  <c r="D626" i="1"/>
  <c r="C1633" i="3" s="1"/>
  <c r="D646" i="1"/>
  <c r="C1641" i="3" s="1"/>
  <c r="D671" i="1"/>
  <c r="C1027" i="3" s="1"/>
  <c r="D682" i="1"/>
  <c r="D702" i="1"/>
  <c r="D610" i="1"/>
  <c r="D640" i="1"/>
  <c r="C1640" i="3" s="1"/>
  <c r="D686" i="1"/>
  <c r="D865" i="1"/>
  <c r="C1616" i="3" s="1"/>
  <c r="D877" i="1"/>
  <c r="C1609" i="3" s="1"/>
  <c r="D791" i="1"/>
  <c r="C605" i="3" s="1"/>
  <c r="D797" i="1"/>
  <c r="C611" i="3" s="1"/>
  <c r="D806" i="1"/>
  <c r="C603" i="3" s="1"/>
  <c r="D1144" i="1"/>
  <c r="C1100" i="3" s="1"/>
  <c r="D1184" i="1"/>
  <c r="C1448" i="3" s="1"/>
  <c r="D1217" i="1"/>
  <c r="C1078" i="3" s="1"/>
  <c r="D1161" i="1"/>
  <c r="C623" i="3" s="1"/>
  <c r="D1195" i="1"/>
  <c r="C1070" i="3" s="1"/>
  <c r="D1153" i="1"/>
  <c r="C1391" i="3" s="1"/>
  <c r="D1201" i="1"/>
  <c r="D527" i="1"/>
  <c r="C807" i="3" s="1"/>
  <c r="D481" i="1"/>
  <c r="C152" i="3" s="1"/>
  <c r="D899" i="1"/>
  <c r="C331" i="3" s="1"/>
  <c r="D1255" i="1"/>
  <c r="C456" i="3" s="1"/>
  <c r="K17" i="2"/>
  <c r="D633" i="1"/>
  <c r="C247" i="3" s="1"/>
  <c r="D714" i="1"/>
  <c r="C26" i="3" s="1"/>
  <c r="D611" i="1"/>
  <c r="C1623" i="3" s="1"/>
  <c r="D653" i="1"/>
  <c r="C1054" i="3" s="1"/>
  <c r="D706" i="1"/>
  <c r="C1593" i="3" s="1"/>
  <c r="D656" i="1"/>
  <c r="C735" i="3" s="1"/>
  <c r="D681" i="1"/>
  <c r="D707" i="1"/>
  <c r="D881" i="1"/>
  <c r="C1612" i="3" s="1"/>
  <c r="D793" i="1"/>
  <c r="D1207" i="1"/>
  <c r="D1180" i="1"/>
  <c r="C1315" i="3" s="1"/>
  <c r="D1214" i="1"/>
  <c r="C1468" i="3" s="1"/>
  <c r="D1256" i="1"/>
  <c r="C495" i="3" s="1"/>
  <c r="K15" i="2"/>
  <c r="K19" i="2"/>
  <c r="K33" i="2"/>
  <c r="K43" i="2"/>
  <c r="E57" i="2"/>
  <c r="D353" i="1"/>
  <c r="D340" i="1"/>
  <c r="C308" i="3" s="1"/>
  <c r="D310" i="1"/>
  <c r="C165" i="3" s="1"/>
  <c r="D304" i="1"/>
  <c r="C244" i="3" s="1"/>
  <c r="D298" i="1"/>
  <c r="C206" i="3" s="1"/>
  <c r="D296" i="1"/>
  <c r="D287" i="1"/>
  <c r="C273" i="3" s="1"/>
  <c r="D350" i="1"/>
  <c r="C311" i="3" s="1"/>
  <c r="D337" i="1"/>
  <c r="C38" i="3" s="1"/>
  <c r="D328" i="1"/>
  <c r="D323" i="1"/>
  <c r="D347" i="1"/>
  <c r="C104" i="3" s="1"/>
  <c r="D325" i="1"/>
  <c r="C23" i="3" s="1"/>
  <c r="D315" i="1"/>
  <c r="D292" i="1"/>
  <c r="D351" i="1"/>
  <c r="C754" i="3" s="1"/>
  <c r="D341" i="1"/>
  <c r="C740" i="3" s="1"/>
  <c r="D329" i="1"/>
  <c r="C1498" i="3" s="1"/>
  <c r="D316" i="1"/>
  <c r="D302" i="1"/>
  <c r="C1238" i="3" s="1"/>
  <c r="D288" i="1"/>
  <c r="C844" i="3" s="1"/>
  <c r="D357" i="1"/>
  <c r="C1513" i="3" s="1"/>
  <c r="D349" i="1"/>
  <c r="C1509" i="3" s="1"/>
  <c r="D330" i="1"/>
  <c r="C1497" i="3" s="1"/>
  <c r="D317" i="1"/>
  <c r="C1492" i="3" s="1"/>
  <c r="D311" i="1"/>
  <c r="C775" i="3" s="1"/>
  <c r="D303" i="1"/>
  <c r="C777" i="3" s="1"/>
  <c r="D291" i="1"/>
  <c r="D346" i="1"/>
  <c r="C310" i="3" s="1"/>
  <c r="D312" i="1"/>
  <c r="C201" i="3" s="1"/>
  <c r="D301" i="1"/>
  <c r="D289" i="1"/>
  <c r="C274" i="3" s="1"/>
  <c r="D348" i="1"/>
  <c r="C1510" i="3" s="1"/>
  <c r="D338" i="1"/>
  <c r="C1504" i="3" s="1"/>
  <c r="D326" i="1"/>
  <c r="C1496" i="3" s="1"/>
  <c r="D313" i="1"/>
  <c r="C1491" i="3" s="1"/>
  <c r="D299" i="1"/>
  <c r="C1486" i="3" s="1"/>
  <c r="D363" i="1"/>
  <c r="C955" i="3" s="1"/>
  <c r="D360" i="1"/>
  <c r="D355" i="1"/>
  <c r="C1512" i="3" s="1"/>
  <c r="D345" i="1"/>
  <c r="C1507" i="3" s="1"/>
  <c r="D336" i="1"/>
  <c r="D322" i="1"/>
  <c r="D309" i="1"/>
  <c r="C1489" i="3" s="1"/>
  <c r="D295" i="1"/>
  <c r="D286" i="1"/>
  <c r="C691" i="3" s="1"/>
  <c r="D334" i="1"/>
  <c r="C307" i="3" s="1"/>
  <c r="D285" i="1"/>
  <c r="C272" i="3" s="1"/>
  <c r="D335" i="1"/>
  <c r="C1502" i="3" s="1"/>
  <c r="D308" i="1"/>
  <c r="C1490" i="3" s="1"/>
  <c r="D362" i="1"/>
  <c r="C961" i="3" s="1"/>
  <c r="D354" i="1"/>
  <c r="C1009" i="3" s="1"/>
  <c r="D339" i="1"/>
  <c r="D327" i="1"/>
  <c r="D300" i="1"/>
  <c r="D331" i="1"/>
  <c r="C305" i="3" s="1"/>
  <c r="D307" i="1"/>
  <c r="D284" i="1"/>
  <c r="C73" i="3" s="1"/>
  <c r="D332" i="1"/>
  <c r="C1500" i="3" s="1"/>
  <c r="D305" i="1"/>
  <c r="C1488" i="3" s="1"/>
  <c r="D361" i="1"/>
  <c r="C1038" i="3" s="1"/>
  <c r="D352" i="1"/>
  <c r="C1511" i="3" s="1"/>
  <c r="D324" i="1"/>
  <c r="C773" i="3" s="1"/>
  <c r="D314" i="1"/>
  <c r="D297" i="1"/>
  <c r="C776" i="3" s="1"/>
  <c r="D81" i="2"/>
  <c r="D85" i="2"/>
  <c r="D91" i="2"/>
  <c r="G102" i="2"/>
  <c r="D158" i="1" s="1"/>
  <c r="G110" i="2"/>
  <c r="D400" i="1"/>
  <c r="C1329" i="3" s="1"/>
  <c r="D460" i="1"/>
  <c r="C992" i="3" s="1"/>
  <c r="D457" i="1"/>
  <c r="D454" i="1"/>
  <c r="C1067" i="3" s="1"/>
  <c r="D450" i="1"/>
  <c r="C945" i="3" s="1"/>
  <c r="D446" i="1"/>
  <c r="C971" i="3" s="1"/>
  <c r="D442" i="1"/>
  <c r="C959" i="3" s="1"/>
  <c r="D438" i="1"/>
  <c r="C22" i="3" s="1"/>
  <c r="D434" i="1"/>
  <c r="C964" i="3" s="1"/>
  <c r="C1713" i="3" s="1"/>
  <c r="D428" i="1"/>
  <c r="C632" i="3" s="1"/>
  <c r="D425" i="1"/>
  <c r="C957" i="3" s="1"/>
  <c r="D423" i="1"/>
  <c r="D420" i="1"/>
  <c r="C731" i="3" s="1"/>
  <c r="C1722" i="3" s="1"/>
  <c r="D413" i="1"/>
  <c r="C1007" i="3" s="1"/>
  <c r="D409" i="1"/>
  <c r="C16" i="3" s="1"/>
  <c r="D405" i="1"/>
  <c r="C41" i="3" s="1"/>
  <c r="D828" i="1"/>
  <c r="C90" i="3" s="1"/>
  <c r="D821" i="1"/>
  <c r="D817" i="1"/>
  <c r="C1651" i="3" s="1"/>
  <c r="D810" i="1"/>
  <c r="C179" i="3" s="1"/>
  <c r="D840" i="1"/>
  <c r="C173" i="3" s="1"/>
  <c r="D599" i="1"/>
  <c r="C156" i="3" s="1"/>
  <c r="D622" i="1"/>
  <c r="D647" i="1"/>
  <c r="C170" i="3" s="1"/>
  <c r="D665" i="1"/>
  <c r="C137" i="3" s="1"/>
  <c r="D704" i="1"/>
  <c r="C56" i="3" s="1"/>
  <c r="D843" i="1"/>
  <c r="C1347" i="3" s="1"/>
  <c r="D856" i="1"/>
  <c r="D600" i="1"/>
  <c r="C667" i="3" s="1"/>
  <c r="D624" i="1"/>
  <c r="C1631" i="3" s="1"/>
  <c r="D644" i="1"/>
  <c r="C956" i="3" s="1"/>
  <c r="D687" i="1"/>
  <c r="D699" i="1"/>
  <c r="C985" i="3" s="1"/>
  <c r="D715" i="1"/>
  <c r="C1042" i="3" s="1"/>
  <c r="D607" i="1"/>
  <c r="C1622" i="3" s="1"/>
  <c r="D623" i="1"/>
  <c r="D637" i="1"/>
  <c r="C1085" i="3" s="1"/>
  <c r="D668" i="1"/>
  <c r="D695" i="1"/>
  <c r="D864" i="1"/>
  <c r="C1615" i="3" s="1"/>
  <c r="D871" i="1"/>
  <c r="C850" i="3" s="1"/>
  <c r="D723" i="1"/>
  <c r="C1604" i="3" s="1"/>
  <c r="D740" i="1"/>
  <c r="C932" i="3" s="1"/>
  <c r="D760" i="1"/>
  <c r="D875" i="1"/>
  <c r="C1365" i="3" s="1"/>
  <c r="D796" i="1"/>
  <c r="C610" i="3" s="1"/>
  <c r="D801" i="1"/>
  <c r="D805" i="1"/>
  <c r="C602" i="3" s="1"/>
  <c r="D983" i="1"/>
  <c r="D1003" i="1"/>
  <c r="C78" i="3" s="1"/>
  <c r="D1021" i="1"/>
  <c r="C202" i="3" s="1"/>
  <c r="D1038" i="1"/>
  <c r="D1045" i="1"/>
  <c r="C212" i="3" s="1"/>
  <c r="D1078" i="1"/>
  <c r="C87" i="3" s="1"/>
  <c r="D1098" i="1"/>
  <c r="D1130" i="1"/>
  <c r="C92" i="3" s="1"/>
  <c r="D992" i="1"/>
  <c r="C1679" i="3" s="1"/>
  <c r="D1015" i="1"/>
  <c r="D1044" i="1"/>
  <c r="D1083" i="1"/>
  <c r="D1109" i="1"/>
  <c r="D1022" i="1"/>
  <c r="C894" i="3" s="1"/>
  <c r="D1101" i="1"/>
  <c r="D1143" i="1"/>
  <c r="C998" i="3" s="1"/>
  <c r="D1182" i="1"/>
  <c r="C1339" i="3" s="1"/>
  <c r="D1216" i="1"/>
  <c r="C568" i="3" s="1"/>
  <c r="D1160" i="1"/>
  <c r="C622" i="3" s="1"/>
  <c r="D1294" i="1"/>
  <c r="D1288" i="1"/>
  <c r="D1326" i="1"/>
  <c r="C699" i="3" s="1"/>
  <c r="D719" i="1"/>
  <c r="C1664" i="3" s="1"/>
  <c r="D741" i="1"/>
  <c r="C1657" i="3" s="1"/>
  <c r="D1149" i="1"/>
  <c r="C921" i="3" s="1"/>
  <c r="D318" i="1"/>
  <c r="C869" i="3" s="1"/>
  <c r="D342" i="1"/>
  <c r="C1505" i="3" s="1"/>
  <c r="D290" i="1"/>
  <c r="C1482" i="3" s="1"/>
  <c r="D344" i="1"/>
  <c r="D528" i="1"/>
  <c r="C416" i="3" s="1"/>
  <c r="D501" i="1"/>
  <c r="C1421" i="3" s="1"/>
  <c r="D483" i="1"/>
  <c r="D1228" i="1"/>
  <c r="C360" i="3" s="1"/>
  <c r="G70" i="2"/>
  <c r="G72" i="2"/>
  <c r="G82" i="2"/>
  <c r="D71" i="2"/>
  <c r="D113" i="2"/>
  <c r="D107" i="2" s="1"/>
  <c r="D70" i="2"/>
  <c r="K74" i="2" s="1"/>
  <c r="D82" i="2"/>
  <c r="D84" i="2"/>
  <c r="D86" i="2"/>
  <c r="G91" i="2"/>
  <c r="G97" i="2"/>
  <c r="G99" i="2"/>
  <c r="G111" i="2"/>
  <c r="D398" i="1" l="1"/>
  <c r="C1229" i="3" s="1"/>
  <c r="D956" i="1"/>
  <c r="C658" i="3" s="1"/>
  <c r="D397" i="1"/>
  <c r="C1561" i="3" s="1"/>
  <c r="D396" i="1"/>
  <c r="C714" i="3" s="1"/>
  <c r="D927" i="1"/>
  <c r="C878" i="3" s="1"/>
  <c r="D925" i="1"/>
  <c r="C664" i="3" s="1"/>
  <c r="D1136" i="1"/>
  <c r="C785" i="3" s="1"/>
  <c r="D938" i="1"/>
  <c r="C266" i="3" s="1"/>
  <c r="D955" i="1"/>
  <c r="C851" i="3" s="1"/>
  <c r="D939" i="1"/>
  <c r="C648" i="3" s="1"/>
  <c r="D941" i="1"/>
  <c r="C651" i="3" s="1"/>
  <c r="D959" i="1"/>
  <c r="C1444" i="3" s="1"/>
  <c r="C1143" i="3"/>
  <c r="D1134" i="1"/>
  <c r="C813" i="3" s="1"/>
  <c r="D957" i="1"/>
  <c r="C657" i="3" s="1"/>
  <c r="D931" i="1"/>
  <c r="C187" i="3" s="1"/>
  <c r="D954" i="1"/>
  <c r="C62" i="3" s="1"/>
  <c r="D1137" i="1"/>
  <c r="C1240" i="3" s="1"/>
  <c r="C208" i="3"/>
  <c r="D1135" i="1"/>
  <c r="C1394" i="3" s="1"/>
  <c r="C334" i="3"/>
  <c r="C466" i="3"/>
  <c r="C367" i="3"/>
  <c r="C368" i="3"/>
  <c r="C509" i="3"/>
  <c r="C373" i="3"/>
  <c r="C455" i="3"/>
  <c r="C387" i="3"/>
  <c r="C120" i="3"/>
  <c r="C290" i="3"/>
  <c r="C1234" i="3"/>
  <c r="C579" i="3"/>
  <c r="C939" i="3"/>
  <c r="D961" i="1"/>
  <c r="C1233" i="3" s="1"/>
  <c r="D947" i="1"/>
  <c r="C654" i="3" s="1"/>
  <c r="D945" i="1"/>
  <c r="C659" i="3" s="1"/>
  <c r="D969" i="1"/>
  <c r="C1215" i="3" s="1"/>
  <c r="D949" i="1"/>
  <c r="C1260" i="3" s="1"/>
  <c r="D926" i="1"/>
  <c r="C1152" i="3" s="1"/>
  <c r="D953" i="1"/>
  <c r="C986" i="3" s="1"/>
  <c r="D935" i="1"/>
  <c r="D966" i="1"/>
  <c r="D950" i="1"/>
  <c r="C656" i="3" s="1"/>
  <c r="D934" i="1"/>
  <c r="C353" i="3"/>
  <c r="C358" i="3"/>
  <c r="C581" i="3"/>
  <c r="C917" i="3"/>
  <c r="C810" i="3"/>
  <c r="C582" i="3"/>
  <c r="C631" i="3"/>
  <c r="C1223" i="3"/>
  <c r="C1117" i="3"/>
  <c r="C948" i="3"/>
  <c r="C1069" i="3"/>
  <c r="C1731" i="3" s="1"/>
  <c r="C1197" i="3"/>
  <c r="C422" i="3"/>
  <c r="C518" i="3"/>
  <c r="C577" i="3"/>
  <c r="C1385" i="3"/>
  <c r="D930" i="1"/>
  <c r="C642" i="3" s="1"/>
  <c r="D937" i="1"/>
  <c r="C645" i="3" s="1"/>
  <c r="C1725" i="3" s="1"/>
  <c r="D936" i="1"/>
  <c r="C646" i="3" s="1"/>
  <c r="D965" i="1"/>
  <c r="C1451" i="3" s="1"/>
  <c r="D944" i="1"/>
  <c r="C650" i="3" s="1"/>
  <c r="D968" i="1"/>
  <c r="D948" i="1"/>
  <c r="C653" i="3" s="1"/>
  <c r="D932" i="1"/>
  <c r="D962" i="1"/>
  <c r="C1312" i="3" s="1"/>
  <c r="D946" i="1"/>
  <c r="C1049" i="3" s="1"/>
  <c r="C337" i="3"/>
  <c r="C345" i="3"/>
  <c r="C451" i="3"/>
  <c r="C472" i="3"/>
  <c r="C354" i="3"/>
  <c r="C399" i="3"/>
  <c r="C534" i="3"/>
  <c r="C529" i="3"/>
  <c r="C351" i="3"/>
  <c r="C396" i="3"/>
  <c r="C517" i="3"/>
  <c r="C538" i="3"/>
  <c r="C306" i="3"/>
  <c r="C286" i="3"/>
  <c r="C1392" i="3"/>
  <c r="C584" i="3"/>
  <c r="C1398" i="3"/>
  <c r="C576" i="3"/>
  <c r="C285" i="3"/>
  <c r="C123" i="3"/>
  <c r="C372" i="3"/>
  <c r="C383" i="3"/>
  <c r="C453" i="3"/>
  <c r="C496" i="3"/>
  <c r="C513" i="3"/>
  <c r="C515" i="3"/>
  <c r="C524" i="3"/>
  <c r="C446" i="3"/>
  <c r="C633" i="3"/>
  <c r="C1212" i="3"/>
  <c r="C1230" i="3"/>
  <c r="C580" i="3"/>
  <c r="C1259" i="3"/>
  <c r="C586" i="3"/>
  <c r="D952" i="1"/>
  <c r="C981" i="3" s="1"/>
  <c r="C263" i="3"/>
  <c r="C289" i="3"/>
  <c r="C98" i="3"/>
  <c r="C312" i="3"/>
  <c r="C139" i="3"/>
  <c r="D951" i="1"/>
  <c r="C655" i="3" s="1"/>
  <c r="C1313" i="3"/>
  <c r="D963" i="1"/>
  <c r="C1422" i="3" s="1"/>
  <c r="D967" i="1"/>
  <c r="C1328" i="3" s="1"/>
  <c r="D928" i="1"/>
  <c r="C37" i="3" s="1"/>
  <c r="D923" i="1"/>
  <c r="C261" i="3" s="1"/>
  <c r="D960" i="1"/>
  <c r="C1224" i="3" s="1"/>
  <c r="D940" i="1"/>
  <c r="D964" i="1"/>
  <c r="C926" i="3" s="1"/>
  <c r="D943" i="1"/>
  <c r="C652" i="3" s="1"/>
  <c r="D929" i="1"/>
  <c r="C641" i="3" s="1"/>
  <c r="D958" i="1"/>
  <c r="C1338" i="3" s="1"/>
  <c r="D942" i="1"/>
  <c r="C649" i="3" s="1"/>
  <c r="C323" i="3"/>
  <c r="C381" i="3"/>
  <c r="C364" i="3"/>
  <c r="C385" i="3"/>
  <c r="C388" i="3"/>
  <c r="C506" i="3"/>
  <c r="C389" i="3"/>
  <c r="C1618" i="3"/>
  <c r="C1050" i="3"/>
  <c r="C1013" i="3"/>
  <c r="C1037" i="3"/>
  <c r="C1048" i="3"/>
  <c r="C1011" i="3"/>
  <c r="C287" i="3"/>
  <c r="C74" i="3"/>
  <c r="C271" i="3"/>
  <c r="C282" i="3"/>
  <c r="C1256" i="3"/>
  <c r="C578" i="3"/>
  <c r="C875" i="3"/>
  <c r="C585" i="3"/>
  <c r="C1231" i="3"/>
  <c r="D924" i="1"/>
  <c r="C683" i="3" s="1"/>
  <c r="C1403" i="3"/>
  <c r="C583" i="3"/>
  <c r="C21" i="3"/>
  <c r="C127" i="3"/>
  <c r="C1306" i="3"/>
  <c r="C1102" i="3"/>
  <c r="C1227" i="3"/>
  <c r="C1332" i="3"/>
  <c r="C1088" i="3"/>
  <c r="C1377" i="3"/>
  <c r="C1354" i="3"/>
  <c r="C624" i="3"/>
  <c r="C1149" i="3"/>
  <c r="C1290" i="3"/>
  <c r="C571" i="3"/>
  <c r="C896" i="3"/>
  <c r="C1202" i="3"/>
  <c r="C615" i="3"/>
  <c r="C886" i="3"/>
  <c r="C925" i="3"/>
  <c r="C566" i="3"/>
  <c r="C1440" i="3"/>
  <c r="C916" i="3"/>
  <c r="C564" i="3"/>
  <c r="C1146" i="3"/>
  <c r="C613" i="3"/>
  <c r="C1413" i="3"/>
  <c r="C621" i="3"/>
  <c r="C1304" i="3"/>
  <c r="C748" i="3"/>
  <c r="C694" i="3"/>
  <c r="C861" i="3"/>
  <c r="C565" i="3"/>
  <c r="C1375" i="3"/>
  <c r="C1270" i="3"/>
  <c r="C995" i="3"/>
  <c r="C1673" i="3"/>
  <c r="C799" i="3"/>
  <c r="C227" i="3"/>
  <c r="C58" i="3"/>
  <c r="C252" i="3"/>
  <c r="C1431" i="3"/>
  <c r="C938" i="3"/>
  <c r="C1133" i="3"/>
  <c r="C548" i="3"/>
  <c r="C796" i="3"/>
  <c r="C833" i="3"/>
  <c r="C1045" i="3"/>
  <c r="C782" i="3"/>
  <c r="C1153" i="3"/>
  <c r="C236" i="3"/>
  <c r="C72" i="3"/>
  <c r="C53" i="3"/>
  <c r="C77" i="3"/>
  <c r="C790" i="3"/>
  <c r="C1107" i="3"/>
  <c r="C1677" i="3"/>
  <c r="C811" i="3"/>
  <c r="C1389" i="3"/>
  <c r="C547" i="3"/>
  <c r="C1401" i="3"/>
  <c r="C729" i="3"/>
  <c r="C1393" i="3"/>
  <c r="C1323" i="3"/>
  <c r="C94" i="3"/>
  <c r="C108" i="3"/>
  <c r="C674" i="3"/>
  <c r="C872" i="3"/>
  <c r="C1283" i="3"/>
  <c r="C1476" i="3"/>
  <c r="C544" i="3"/>
  <c r="C1291" i="3"/>
  <c r="C840" i="3"/>
  <c r="C769" i="3"/>
  <c r="C1043" i="3"/>
  <c r="C1139" i="3"/>
  <c r="C1670" i="3"/>
  <c r="C1277" i="3"/>
  <c r="C937" i="3"/>
  <c r="C1346" i="3"/>
  <c r="C545" i="3"/>
  <c r="C1281" i="3"/>
  <c r="C814" i="3"/>
  <c r="C1170" i="3"/>
  <c r="C102" i="3"/>
  <c r="C36" i="3"/>
  <c r="C222" i="3"/>
  <c r="C1292" i="3"/>
  <c r="C558" i="3"/>
  <c r="C1261" i="3"/>
  <c r="C1463" i="3"/>
  <c r="C551" i="3"/>
  <c r="C13" i="3"/>
  <c r="C218" i="3"/>
  <c r="C1373" i="3"/>
  <c r="C1129" i="3"/>
  <c r="C673" i="3"/>
  <c r="C1135" i="3"/>
  <c r="C1680" i="3"/>
  <c r="C1671" i="3"/>
  <c r="C1442" i="3"/>
  <c r="C106" i="3"/>
  <c r="C309" i="3"/>
  <c r="C672" i="3"/>
  <c r="C1072" i="3"/>
  <c r="C210" i="3"/>
  <c r="C251" i="3"/>
  <c r="C253" i="3"/>
  <c r="C1417" i="3"/>
  <c r="C51" i="3"/>
  <c r="C116" i="3"/>
  <c r="C1082" i="3"/>
  <c r="C1051" i="3"/>
  <c r="C1164" i="3"/>
  <c r="C550" i="3"/>
  <c r="C1299" i="3"/>
  <c r="C802" i="3"/>
  <c r="C1402" i="3"/>
  <c r="C1314" i="3"/>
  <c r="C1342" i="3"/>
  <c r="C1399" i="3"/>
  <c r="C546" i="3"/>
  <c r="C1740" i="3" s="1"/>
  <c r="C1467" i="3"/>
  <c r="C560" i="3"/>
  <c r="C827" i="3"/>
  <c r="C626" i="3"/>
  <c r="C549" i="3"/>
  <c r="C1714" i="3" s="1"/>
  <c r="C1008" i="3"/>
  <c r="C1248" i="3"/>
  <c r="C1006" i="3"/>
  <c r="C743" i="3"/>
  <c r="C1459" i="3"/>
  <c r="C15" i="3"/>
  <c r="C225" i="3"/>
  <c r="C928" i="3"/>
  <c r="C849" i="3"/>
  <c r="C1180" i="3"/>
  <c r="C1221" i="3"/>
  <c r="C1681" i="3"/>
  <c r="C818" i="3"/>
  <c r="C867" i="3"/>
  <c r="C1171" i="3"/>
  <c r="C186" i="3"/>
  <c r="C213" i="3"/>
  <c r="C6" i="3"/>
  <c r="C199" i="3"/>
  <c r="C207" i="3"/>
  <c r="C97" i="3"/>
  <c r="C1736" i="3" s="1"/>
  <c r="C1183" i="3"/>
  <c r="C1167" i="3"/>
  <c r="C7" i="3"/>
  <c r="C30" i="3"/>
  <c r="C182" i="3"/>
  <c r="C211" i="3"/>
  <c r="C2" i="3"/>
  <c r="C219" i="3"/>
  <c r="C134" i="3"/>
  <c r="C562" i="3"/>
  <c r="C1144" i="3"/>
  <c r="C1105" i="3"/>
  <c r="C930" i="3"/>
  <c r="C1454" i="3"/>
  <c r="C1452" i="3"/>
  <c r="C1423" i="3"/>
  <c r="C728" i="3"/>
  <c r="C559" i="3"/>
  <c r="C228" i="3"/>
  <c r="C283" i="3"/>
  <c r="C1285" i="3"/>
  <c r="C744" i="3"/>
  <c r="C832" i="3"/>
  <c r="C1151" i="3"/>
  <c r="C5" i="3"/>
  <c r="C220" i="3"/>
  <c r="C561" i="3"/>
  <c r="C1297" i="3"/>
  <c r="C226" i="3"/>
  <c r="C235" i="3"/>
  <c r="C1446" i="3"/>
  <c r="C563" i="3"/>
  <c r="C1317" i="3"/>
  <c r="C552" i="3"/>
  <c r="C897" i="3"/>
  <c r="C231" i="3"/>
  <c r="C1730" i="3" s="1"/>
  <c r="C262" i="3"/>
  <c r="C682" i="3"/>
  <c r="C824" i="3"/>
  <c r="C1682" i="3"/>
  <c r="C908" i="3"/>
  <c r="C1369" i="3"/>
  <c r="C1648" i="3"/>
  <c r="C710" i="3"/>
  <c r="C1003" i="3"/>
  <c r="C732" i="3"/>
  <c r="C866" i="3"/>
  <c r="C745" i="3"/>
  <c r="C979" i="3"/>
  <c r="C805" i="3"/>
  <c r="C826" i="3"/>
  <c r="C1645" i="3"/>
  <c r="C1415" i="3"/>
  <c r="C1653" i="3"/>
  <c r="C1134" i="3"/>
  <c r="C3" i="3"/>
  <c r="C180" i="3"/>
  <c r="C1649" i="3"/>
  <c r="C1416" i="3"/>
  <c r="C1426" i="3"/>
  <c r="C1647" i="3"/>
  <c r="C1438" i="3"/>
  <c r="C600" i="3"/>
  <c r="C1719" i="3" s="1"/>
  <c r="C1473" i="3"/>
  <c r="C598" i="3"/>
  <c r="C1739" i="3" s="1"/>
  <c r="C1344" i="3"/>
  <c r="C597" i="3"/>
  <c r="C1324" i="3"/>
  <c r="C1384" i="3"/>
  <c r="C596" i="3"/>
  <c r="C606" i="3"/>
  <c r="C800" i="3"/>
  <c r="C1461" i="3"/>
  <c r="C607" i="3"/>
  <c r="C1191" i="3"/>
  <c r="C599" i="3"/>
  <c r="C1198" i="3"/>
  <c r="C1445" i="3"/>
  <c r="C1601" i="3"/>
  <c r="C1295" i="3"/>
  <c r="C1656" i="3"/>
  <c r="C1383" i="3"/>
  <c r="C1057" i="3"/>
  <c r="C949" i="3"/>
  <c r="C1181" i="3"/>
  <c r="C1414" i="3"/>
  <c r="C1591" i="3"/>
  <c r="C1160" i="3"/>
  <c r="C982" i="3"/>
  <c r="C1632" i="3"/>
  <c r="C847" i="3"/>
  <c r="C900" i="3"/>
  <c r="C1165" i="3"/>
  <c r="C93" i="3"/>
  <c r="C153" i="3"/>
  <c r="C112" i="3"/>
  <c r="C142" i="3"/>
  <c r="C855" i="3"/>
  <c r="C1126" i="3"/>
  <c r="C1572" i="3"/>
  <c r="C1388" i="3"/>
  <c r="C1584" i="3"/>
  <c r="C918" i="3"/>
  <c r="C663" i="3"/>
  <c r="C143" i="3"/>
  <c r="C67" i="3"/>
  <c r="C870" i="3"/>
  <c r="C1154" i="3"/>
  <c r="C884" i="3"/>
  <c r="C1095" i="3"/>
  <c r="C1189" i="3"/>
  <c r="C803" i="3"/>
  <c r="C1576" i="3"/>
  <c r="C972" i="3"/>
  <c r="C1093" i="3"/>
  <c r="C1138" i="3"/>
  <c r="C1574" i="3"/>
  <c r="C1188" i="3"/>
  <c r="C1262" i="3"/>
  <c r="C1588" i="3"/>
  <c r="C1115" i="3"/>
  <c r="C1439" i="3"/>
  <c r="C1371" i="3"/>
  <c r="C1575" i="3"/>
  <c r="C1582" i="3"/>
  <c r="C1023" i="3"/>
  <c r="C1147" i="3"/>
  <c r="C1408" i="3"/>
  <c r="C1592" i="3"/>
  <c r="C1478" i="3"/>
  <c r="C1587" i="3"/>
  <c r="C1359" i="3"/>
  <c r="C1634" i="3"/>
  <c r="C1267" i="3"/>
  <c r="C1035" i="3"/>
  <c r="C35" i="3"/>
  <c r="C147" i="3"/>
  <c r="C12" i="3"/>
  <c r="C927" i="3"/>
  <c r="C1579" i="3"/>
  <c r="C1419" i="3"/>
  <c r="C1626" i="3"/>
  <c r="C1251" i="3"/>
  <c r="C1578" i="3"/>
  <c r="C1258" i="3"/>
  <c r="C1302" i="3"/>
  <c r="C1573" i="3"/>
  <c r="C991" i="3"/>
  <c r="C1355" i="3"/>
  <c r="C1590" i="3"/>
  <c r="C1320" i="3"/>
  <c r="C1272" i="3"/>
  <c r="C1158" i="3"/>
  <c r="C1186" i="3"/>
  <c r="C1017" i="3"/>
  <c r="C1064" i="3"/>
  <c r="C864" i="3"/>
  <c r="C1185" i="3"/>
  <c r="C163" i="3"/>
  <c r="C42" i="3"/>
  <c r="C1271" i="3"/>
  <c r="C1624" i="3"/>
  <c r="C124" i="3"/>
  <c r="C141" i="3"/>
  <c r="C666" i="3"/>
  <c r="C881" i="3"/>
  <c r="C1630" i="3"/>
  <c r="C1471" i="3"/>
  <c r="C83" i="3"/>
  <c r="C46" i="3"/>
  <c r="C1586" i="3"/>
  <c r="C1449" i="3"/>
  <c r="C1581" i="3"/>
  <c r="C931" i="3"/>
  <c r="C942" i="3"/>
  <c r="C89" i="3"/>
  <c r="C242" i="3"/>
  <c r="C144" i="3"/>
  <c r="C259" i="3"/>
  <c r="C1166" i="3"/>
  <c r="C1163" i="3"/>
  <c r="C660" i="3"/>
  <c r="C1733" i="3" s="1"/>
  <c r="C1193" i="3"/>
  <c r="C1583" i="3"/>
  <c r="C857" i="3"/>
  <c r="C1577" i="3"/>
  <c r="C1361" i="3"/>
  <c r="C1316" i="3"/>
  <c r="C1585" i="3"/>
  <c r="C892" i="3"/>
  <c r="C889" i="3"/>
  <c r="C837" i="3"/>
  <c r="C302" i="3"/>
  <c r="C125" i="3"/>
  <c r="C1274" i="3"/>
  <c r="C795" i="3"/>
  <c r="C1724" i="3" s="1"/>
  <c r="C1145" i="3"/>
  <c r="C1036" i="3"/>
  <c r="C1273" i="3"/>
  <c r="C589" i="3"/>
  <c r="C301" i="3"/>
  <c r="C300" i="3"/>
  <c r="C592" i="3"/>
  <c r="C882" i="3"/>
  <c r="C941" i="3"/>
  <c r="C977" i="3"/>
  <c r="C1326" i="3"/>
  <c r="C1252" i="3"/>
  <c r="C1044" i="3"/>
  <c r="C593" i="3"/>
  <c r="C860" i="3"/>
  <c r="C542" i="3"/>
  <c r="C338" i="3"/>
  <c r="C862" i="3"/>
  <c r="C1116" i="3"/>
  <c r="C591" i="3"/>
  <c r="C1465" i="3"/>
  <c r="C1325" i="3"/>
  <c r="C701" i="3"/>
  <c r="C1726" i="3" s="1"/>
  <c r="C1024" i="3"/>
  <c r="C846" i="3"/>
  <c r="C1208" i="3"/>
  <c r="C828" i="3"/>
  <c r="C590" i="3"/>
  <c r="C980" i="3"/>
  <c r="C903" i="3"/>
  <c r="C1436" i="3"/>
  <c r="C823" i="3"/>
  <c r="C1119" i="3"/>
  <c r="C1456" i="3"/>
  <c r="C1001" i="3"/>
  <c r="C1120" i="3"/>
  <c r="C1335" i="3"/>
  <c r="C989" i="3"/>
  <c r="C1441" i="3"/>
  <c r="C1140" i="3"/>
  <c r="C297" i="3"/>
  <c r="C294" i="3"/>
  <c r="C48" i="3"/>
  <c r="C55" i="3"/>
  <c r="C924" i="3"/>
  <c r="C1207" i="3"/>
  <c r="C733" i="3"/>
  <c r="C1026" i="3"/>
  <c r="C122" i="3"/>
  <c r="C270" i="3"/>
  <c r="C277" i="3"/>
  <c r="C1503" i="3"/>
  <c r="C915" i="3"/>
  <c r="C1169" i="3"/>
  <c r="C1483" i="3"/>
  <c r="C1022" i="3"/>
  <c r="C132" i="3"/>
  <c r="C85" i="3"/>
  <c r="C1499" i="3"/>
  <c r="C1137" i="3"/>
  <c r="C1450" i="3"/>
  <c r="C831" i="3"/>
  <c r="C1501" i="3"/>
  <c r="C278" i="3"/>
  <c r="C191" i="3"/>
  <c r="C256" i="3"/>
  <c r="C197" i="3"/>
  <c r="C178" i="3"/>
  <c r="C254" i="3"/>
  <c r="C27" i="3"/>
  <c r="C99" i="3"/>
  <c r="C1429" i="3"/>
  <c r="C943" i="3"/>
  <c r="C1481" i="3"/>
  <c r="C879" i="3"/>
  <c r="C1495" i="3"/>
  <c r="C1194" i="3"/>
  <c r="C267" i="3"/>
  <c r="C280" i="3"/>
  <c r="C1470" i="3"/>
  <c r="C1508" i="3"/>
  <c r="C1305" i="3"/>
  <c r="C1485" i="3"/>
  <c r="C1493" i="3"/>
  <c r="C853" i="3"/>
  <c r="C753" i="3"/>
  <c r="C1062" i="3"/>
  <c r="C190" i="3"/>
  <c r="C276" i="3"/>
  <c r="C49" i="3"/>
  <c r="C1405" i="3"/>
  <c r="C983" i="3"/>
  <c r="C275" i="3"/>
  <c r="C264" i="3"/>
  <c r="C279" i="3"/>
  <c r="C25" i="3"/>
  <c r="C241" i="3"/>
  <c r="D189" i="1"/>
  <c r="C1557" i="3" s="1"/>
  <c r="D155" i="1"/>
  <c r="C876" i="3" s="1"/>
  <c r="D190" i="1"/>
  <c r="C1558" i="3" s="1"/>
  <c r="D215" i="1"/>
  <c r="C758" i="3" s="1"/>
  <c r="D188" i="1"/>
  <c r="C1556" i="3" s="1"/>
  <c r="D191" i="1"/>
  <c r="C1559" i="3" s="1"/>
  <c r="D211" i="1"/>
  <c r="C843" i="3" s="1"/>
  <c r="D205" i="1"/>
  <c r="C1127" i="3" s="1"/>
  <c r="D192" i="1"/>
  <c r="C705" i="3" s="1"/>
  <c r="D217" i="1"/>
  <c r="C809" i="3" s="1"/>
  <c r="D204" i="1"/>
  <c r="C756" i="3" s="1"/>
  <c r="D208" i="1"/>
  <c r="C1554" i="3" s="1"/>
  <c r="D200" i="1"/>
  <c r="C788" i="3" s="1"/>
  <c r="D196" i="1"/>
  <c r="C1553" i="3" s="1"/>
  <c r="D219" i="1"/>
  <c r="C1555" i="3" s="1"/>
  <c r="D104" i="2"/>
  <c r="D274" i="1" s="1"/>
  <c r="C1530" i="3" s="1"/>
  <c r="D168" i="1"/>
  <c r="C640" i="3" s="1"/>
  <c r="D165" i="1"/>
  <c r="C693" i="3" s="1"/>
  <c r="D166" i="1"/>
  <c r="C638" i="3" s="1"/>
  <c r="D167" i="1"/>
  <c r="C639" i="3" s="1"/>
  <c r="D195" i="1"/>
  <c r="C1096" i="3" s="1"/>
  <c r="D185" i="1"/>
  <c r="D171" i="1"/>
  <c r="C1550" i="3" s="1"/>
  <c r="D186" i="1"/>
  <c r="C1275" i="3" s="1"/>
  <c r="D207" i="1"/>
  <c r="C1552" i="3" s="1"/>
  <c r="D193" i="1"/>
  <c r="C1333" i="3" s="1"/>
  <c r="D172" i="1"/>
  <c r="C1396" i="3" s="1"/>
  <c r="D174" i="1"/>
  <c r="C627" i="3" s="1"/>
  <c r="D198" i="1"/>
  <c r="C848" i="3" s="1"/>
  <c r="D187" i="1"/>
  <c r="C1360" i="3" s="1"/>
  <c r="D173" i="1"/>
  <c r="C1000" i="3" s="1"/>
  <c r="D216" i="1"/>
  <c r="C997" i="3" s="1"/>
  <c r="D210" i="1"/>
  <c r="C1104" i="3" s="1"/>
  <c r="D184" i="1"/>
  <c r="C1570" i="3" s="1"/>
  <c r="D170" i="1"/>
  <c r="C839" i="3" s="1"/>
  <c r="D221" i="1"/>
  <c r="C1097" i="3" s="1"/>
  <c r="D169" i="1"/>
  <c r="C1404" i="3" s="1"/>
  <c r="D222" i="1"/>
  <c r="C1073" i="3" s="1"/>
  <c r="D220" i="1"/>
  <c r="C1034" i="3" s="1"/>
  <c r="D151" i="1"/>
  <c r="C1309" i="3" s="1"/>
  <c r="D203" i="1"/>
  <c r="C1353" i="3" s="1"/>
  <c r="D154" i="1"/>
  <c r="C1216" i="3" s="1"/>
  <c r="D152" i="1"/>
  <c r="C835" i="3" s="1"/>
  <c r="D153" i="1"/>
  <c r="C1435" i="3" s="1"/>
  <c r="D388" i="1"/>
  <c r="D391" i="1"/>
  <c r="C784" i="3" s="1"/>
  <c r="D395" i="1"/>
  <c r="C686" i="3" s="1"/>
  <c r="D368" i="1"/>
  <c r="C690" i="3" s="1"/>
  <c r="D376" i="1"/>
  <c r="C318" i="3" s="1"/>
  <c r="D379" i="1"/>
  <c r="C1520" i="3" s="1"/>
  <c r="D382" i="1"/>
  <c r="C1522" i="3" s="1"/>
  <c r="D385" i="1"/>
  <c r="C63" i="3" s="1"/>
  <c r="D389" i="1"/>
  <c r="C1526" i="3" s="1"/>
  <c r="D394" i="1"/>
  <c r="C1528" i="3" s="1"/>
  <c r="D369" i="1"/>
  <c r="C96" i="3" s="1"/>
  <c r="D373" i="1"/>
  <c r="C1517" i="3" s="1"/>
  <c r="D375" i="1"/>
  <c r="C1518" i="3" s="1"/>
  <c r="D380" i="1"/>
  <c r="C1521" i="3" s="1"/>
  <c r="D364" i="1"/>
  <c r="C257" i="3" s="1"/>
  <c r="D390" i="1"/>
  <c r="C185" i="3" s="1"/>
  <c r="D365" i="1"/>
  <c r="C1515" i="3" s="1"/>
  <c r="D370" i="1"/>
  <c r="C1516" i="3" s="1"/>
  <c r="D374" i="1"/>
  <c r="D377" i="1"/>
  <c r="C1519" i="3" s="1"/>
  <c r="D381" i="1"/>
  <c r="D384" i="1"/>
  <c r="C1523" i="3" s="1"/>
  <c r="D366" i="1"/>
  <c r="C315" i="3" s="1"/>
  <c r="D367" i="1"/>
  <c r="C841" i="3" s="1"/>
  <c r="D383" i="1"/>
  <c r="D371" i="1"/>
  <c r="D386" i="1"/>
  <c r="C1524" i="3" s="1"/>
  <c r="D372" i="1"/>
  <c r="C1176" i="3" s="1"/>
  <c r="D387" i="1"/>
  <c r="C64" i="3" s="1"/>
  <c r="D378" i="1"/>
  <c r="D392" i="1"/>
  <c r="C783" i="3" s="1"/>
  <c r="D393" i="1"/>
  <c r="C1527" i="3" s="1"/>
  <c r="D594" i="1"/>
  <c r="C476" i="3" s="1"/>
  <c r="D590" i="1"/>
  <c r="C475" i="3" s="1"/>
  <c r="D588" i="1"/>
  <c r="D584" i="1"/>
  <c r="C417" i="3" s="1"/>
  <c r="D580" i="1"/>
  <c r="C414" i="3" s="1"/>
  <c r="D576" i="1"/>
  <c r="C326" i="3" s="1"/>
  <c r="D572" i="1"/>
  <c r="C435" i="3" s="1"/>
  <c r="D568" i="1"/>
  <c r="C344" i="3" s="1"/>
  <c r="D564" i="1"/>
  <c r="C536" i="3" s="1"/>
  <c r="D560" i="1"/>
  <c r="C478" i="3" s="1"/>
  <c r="D556" i="1"/>
  <c r="C482" i="3" s="1"/>
  <c r="D552" i="1"/>
  <c r="C498" i="3" s="1"/>
  <c r="D549" i="1"/>
  <c r="D546" i="1"/>
  <c r="C409" i="3" s="1"/>
  <c r="D543" i="1"/>
  <c r="D593" i="1"/>
  <c r="C419" i="3" s="1"/>
  <c r="D589" i="1"/>
  <c r="C418" i="3" s="1"/>
  <c r="D587" i="1"/>
  <c r="C438" i="3" s="1"/>
  <c r="D583" i="1"/>
  <c r="C480" i="3" s="1"/>
  <c r="D579" i="1"/>
  <c r="C479" i="3" s="1"/>
  <c r="D575" i="1"/>
  <c r="C463" i="3" s="1"/>
  <c r="D571" i="1"/>
  <c r="C449" i="3" s="1"/>
  <c r="D567" i="1"/>
  <c r="C448" i="3" s="1"/>
  <c r="D563" i="1"/>
  <c r="C447" i="3" s="1"/>
  <c r="D559" i="1"/>
  <c r="C434" i="3" s="1"/>
  <c r="D555" i="1"/>
  <c r="C443" i="3" s="1"/>
  <c r="D551" i="1"/>
  <c r="C510" i="3" s="1"/>
  <c r="D545" i="1"/>
  <c r="C408" i="3" s="1"/>
  <c r="D582" i="1"/>
  <c r="C437" i="3" s="1"/>
  <c r="D574" i="1"/>
  <c r="C413" i="3" s="1"/>
  <c r="D566" i="1"/>
  <c r="C531" i="3" s="1"/>
  <c r="D558" i="1"/>
  <c r="C491" i="3" s="1"/>
  <c r="D550" i="1"/>
  <c r="C420" i="3" s="1"/>
  <c r="D544" i="1"/>
  <c r="C530" i="3" s="1"/>
  <c r="D581" i="1"/>
  <c r="C464" i="3" s="1"/>
  <c r="D573" i="1"/>
  <c r="C477" i="3" s="1"/>
  <c r="D565" i="1"/>
  <c r="C359" i="3" s="1"/>
  <c r="D557" i="1"/>
  <c r="C444" i="3" s="1"/>
  <c r="D586" i="1"/>
  <c r="C467" i="3" s="1"/>
  <c r="D570" i="1"/>
  <c r="C410" i="3" s="1"/>
  <c r="D554" i="1"/>
  <c r="C366" i="3" s="1"/>
  <c r="D585" i="1"/>
  <c r="C465" i="3" s="1"/>
  <c r="D569" i="1"/>
  <c r="C421" i="3" s="1"/>
  <c r="D553" i="1"/>
  <c r="C441" i="3" s="1"/>
  <c r="D578" i="1"/>
  <c r="C436" i="3" s="1"/>
  <c r="D548" i="1"/>
  <c r="D577" i="1"/>
  <c r="C415" i="3" s="1"/>
  <c r="D547" i="1"/>
  <c r="C377" i="3" s="1"/>
  <c r="D592" i="1"/>
  <c r="C481" i="3" s="1"/>
  <c r="D591" i="1"/>
  <c r="C439" i="3" s="1"/>
  <c r="D562" i="1"/>
  <c r="C322" i="3" s="1"/>
  <c r="D561" i="1"/>
  <c r="C411" i="3" s="1"/>
  <c r="D790" i="1"/>
  <c r="C390" i="3" s="1"/>
  <c r="D786" i="1"/>
  <c r="C459" i="3" s="1"/>
  <c r="D782" i="1"/>
  <c r="C522" i="3" s="1"/>
  <c r="D778" i="1"/>
  <c r="C488" i="3" s="1"/>
  <c r="D775" i="1"/>
  <c r="C507" i="3" s="1"/>
  <c r="D771" i="1"/>
  <c r="C503" i="3" s="1"/>
  <c r="D767" i="1"/>
  <c r="C335" i="3" s="1"/>
  <c r="D789" i="1"/>
  <c r="C405" i="3" s="1"/>
  <c r="D785" i="1"/>
  <c r="C502" i="3" s="1"/>
  <c r="D781" i="1"/>
  <c r="C492" i="3" s="1"/>
  <c r="D774" i="1"/>
  <c r="C486" i="3" s="1"/>
  <c r="D770" i="1"/>
  <c r="C484" i="3" s="1"/>
  <c r="D766" i="1"/>
  <c r="C395" i="3" s="1"/>
  <c r="D788" i="1"/>
  <c r="C357" i="3" s="1"/>
  <c r="D780" i="1"/>
  <c r="C494" i="3" s="1"/>
  <c r="D773" i="1"/>
  <c r="C333" i="3" s="1"/>
  <c r="D765" i="1"/>
  <c r="C346" i="3" s="1"/>
  <c r="D787" i="1"/>
  <c r="C499" i="3" s="1"/>
  <c r="D779" i="1"/>
  <c r="C497" i="3" s="1"/>
  <c r="D772" i="1"/>
  <c r="C487" i="3" s="1"/>
  <c r="D764" i="1"/>
  <c r="C483" i="3" s="1"/>
  <c r="D784" i="1"/>
  <c r="C382" i="3" s="1"/>
  <c r="D769" i="1"/>
  <c r="C505" i="3" s="1"/>
  <c r="D783" i="1"/>
  <c r="C508" i="3" s="1"/>
  <c r="D768" i="1"/>
  <c r="C485" i="3" s="1"/>
  <c r="D777" i="1"/>
  <c r="D776" i="1"/>
  <c r="C490" i="3" s="1"/>
  <c r="C1712" i="3" l="1"/>
  <c r="C1738" i="3"/>
  <c r="C1735" i="3"/>
  <c r="C1715" i="3"/>
  <c r="C1723" i="3"/>
  <c r="D257" i="1"/>
  <c r="C1477" i="3" s="1"/>
  <c r="D258" i="1"/>
  <c r="C1128" i="3" s="1"/>
  <c r="D262" i="1"/>
  <c r="C1539" i="3" s="1"/>
  <c r="D271" i="1"/>
  <c r="C1537" i="3" s="1"/>
  <c r="D275" i="1"/>
  <c r="C1531" i="3" s="1"/>
  <c r="D283" i="1"/>
  <c r="C1536" i="3" s="1"/>
  <c r="C1249" i="3"/>
  <c r="C644" i="3"/>
  <c r="C647" i="3"/>
  <c r="C1430" i="3"/>
  <c r="C1397" i="3"/>
  <c r="C993" i="3"/>
  <c r="C1103" i="3"/>
  <c r="C1203" i="3"/>
  <c r="C643" i="3"/>
  <c r="C1111" i="3"/>
  <c r="C243" i="3"/>
  <c r="C24" i="3"/>
  <c r="C188" i="3"/>
  <c r="C400" i="3"/>
  <c r="C445" i="3"/>
  <c r="C370" i="3"/>
  <c r="C341" i="3"/>
  <c r="C473" i="3"/>
  <c r="C34" i="3"/>
  <c r="C1732" i="3" s="1"/>
  <c r="C86" i="3"/>
  <c r="C117" i="3"/>
  <c r="C317" i="3"/>
  <c r="C1327" i="3"/>
  <c r="C1727" i="3" s="1"/>
  <c r="C489" i="3"/>
  <c r="C541" i="3"/>
  <c r="C394" i="3"/>
  <c r="C528" i="3"/>
  <c r="C319" i="3"/>
  <c r="C260" i="3"/>
  <c r="C316" i="3"/>
  <c r="C249" i="3"/>
  <c r="C440" i="3"/>
  <c r="C325" i="3"/>
  <c r="C11" i="3"/>
  <c r="C321" i="3"/>
  <c r="C248" i="3"/>
  <c r="C320" i="3"/>
  <c r="C1525" i="3"/>
  <c r="C1218" i="3"/>
  <c r="C1551" i="3"/>
  <c r="C1265" i="3"/>
  <c r="D270" i="1"/>
  <c r="C1545" i="3" s="1"/>
  <c r="D259" i="1"/>
  <c r="C695" i="3" s="1"/>
  <c r="D260" i="1"/>
  <c r="D264" i="1"/>
  <c r="D261" i="1"/>
  <c r="C755" i="3" s="1"/>
  <c r="D268" i="1"/>
  <c r="D213" i="1"/>
  <c r="C905" i="3" s="1"/>
  <c r="D202" i="1"/>
  <c r="C1566" i="3" s="1"/>
  <c r="D194" i="1"/>
  <c r="C1282" i="3" s="1"/>
  <c r="D180" i="1"/>
  <c r="C696" i="3" s="1"/>
  <c r="D175" i="1"/>
  <c r="C1148" i="3" s="1"/>
  <c r="D206" i="1"/>
  <c r="C1469" i="3" s="1"/>
  <c r="D183" i="1"/>
  <c r="C1563" i="3" s="1"/>
  <c r="D157" i="1"/>
  <c r="C1122" i="3" s="1"/>
  <c r="D212" i="1"/>
  <c r="C830" i="3" s="1"/>
  <c r="D201" i="1"/>
  <c r="C970" i="3" s="1"/>
  <c r="D176" i="1"/>
  <c r="C1568" i="3" s="1"/>
  <c r="D181" i="1"/>
  <c r="D197" i="1"/>
  <c r="C1548" i="3" s="1"/>
  <c r="D177" i="1"/>
  <c r="C1571" i="3" s="1"/>
  <c r="D218" i="1"/>
  <c r="C1125" i="3" s="1"/>
  <c r="D209" i="1"/>
  <c r="C1549" i="3" s="1"/>
  <c r="D199" i="1"/>
  <c r="C1567" i="3" s="1"/>
  <c r="D178" i="1"/>
  <c r="C1564" i="3" s="1"/>
  <c r="D182" i="1"/>
  <c r="C1562" i="3" s="1"/>
  <c r="D214" i="1"/>
  <c r="C1569" i="3" s="1"/>
  <c r="D179" i="1"/>
  <c r="C1565" i="3" s="1"/>
  <c r="D263" i="1"/>
  <c r="C1540" i="3" s="1"/>
  <c r="D265" i="1"/>
  <c r="C1542" i="3" s="1"/>
  <c r="D266" i="1"/>
  <c r="C801" i="3" s="1"/>
  <c r="D267" i="1"/>
  <c r="C1543" i="3" s="1"/>
  <c r="D269" i="1"/>
  <c r="D272" i="1"/>
  <c r="C1538" i="3" s="1"/>
  <c r="D280" i="1"/>
  <c r="D282" i="1"/>
  <c r="C1535" i="3" s="1"/>
  <c r="D277" i="1"/>
  <c r="C789" i="3" s="1"/>
  <c r="D279" i="1"/>
  <c r="C1014" i="3" s="1"/>
  <c r="D273" i="1"/>
  <c r="C1546" i="3" s="1"/>
  <c r="D276" i="1"/>
  <c r="C1547" i="3" s="1"/>
  <c r="D278" i="1"/>
  <c r="C1532" i="3" s="1"/>
  <c r="D281" i="1"/>
  <c r="C1276" i="3" l="1"/>
  <c r="C1533" i="3"/>
  <c r="C1099" i="3"/>
  <c r="C1142" i="3"/>
  <c r="C1534" i="3"/>
  <c r="C1340" i="3"/>
  <c r="C1244" i="3"/>
  <c r="C757" i="3"/>
  <c r="C1322" i="3"/>
  <c r="C820" i="3"/>
  <c r="C697" i="3"/>
  <c r="C1368" i="3"/>
  <c r="C1529" i="3"/>
  <c r="C919" i="3"/>
  <c r="C1544" i="3"/>
  <c r="C1002" i="3"/>
  <c r="C1541" i="3"/>
  <c r="C987" i="3"/>
</calcChain>
</file>

<file path=xl/sharedStrings.xml><?xml version="1.0" encoding="utf-8"?>
<sst xmlns="http://schemas.openxmlformats.org/spreadsheetml/2006/main" count="13671" uniqueCount="5413">
  <si>
    <t>brand</t>
  </si>
  <si>
    <t>description</t>
  </si>
  <si>
    <t>price</t>
  </si>
  <si>
    <t>model</t>
  </si>
  <si>
    <t>qty</t>
  </si>
  <si>
    <t>model_barcode</t>
  </si>
  <si>
    <t>shelf</t>
  </si>
  <si>
    <t>sku</t>
  </si>
  <si>
    <t>tracking0</t>
  </si>
  <si>
    <t>fallback_model_attachments</t>
  </si>
  <si>
    <t>HOOVER &amp; STRONG</t>
  </si>
  <si>
    <t>18W040SH</t>
  </si>
  <si>
    <t>Vault</t>
  </si>
  <si>
    <t>SHEET</t>
  </si>
  <si>
    <t>A. HELLER METALS CO. INC.</t>
  </si>
  <si>
    <t>14KG .020 SHEET CAN BE CUT TO SIZE</t>
  </si>
  <si>
    <t>14G020SH</t>
  </si>
  <si>
    <t>1ZQ154Y5</t>
  </si>
  <si>
    <t>14G020SH_250715-153653.jpg</t>
  </si>
  <si>
    <t xml:space="preserve">10KW .040 FLAT SHEET </t>
  </si>
  <si>
    <t>10W040SH</t>
  </si>
  <si>
    <t>C03JM26V</t>
  </si>
  <si>
    <t>10W040SH.jpg</t>
  </si>
  <si>
    <t>STULLER</t>
  </si>
  <si>
    <t>18KY .012 SHEET CAN BE CUT TO SIZE</t>
  </si>
  <si>
    <t>18Y012SH</t>
  </si>
  <si>
    <t>UMNEZ10M</t>
  </si>
  <si>
    <t>18Y012SH_160902-133916_170403-142314_170622-141735_180604-133529_190422-140723_220809-185723.jpg</t>
  </si>
  <si>
    <t>18W060SH</t>
  </si>
  <si>
    <t>18KY 2.5MM 3" X 3" FLAT SHEET</t>
  </si>
  <si>
    <t>18Y2.5MMSH</t>
  </si>
  <si>
    <t>NLMWAT64</t>
  </si>
  <si>
    <t>18KY 3MM 2" X 1" FLAT SHEET</t>
  </si>
  <si>
    <t>18Y3MMSH</t>
  </si>
  <si>
    <t>6F9VJZ50</t>
  </si>
  <si>
    <t xml:space="preserve">ONLINE METALS </t>
  </si>
  <si>
    <t>BRASS .030 SHEET</t>
  </si>
  <si>
    <t>BRASS030SH</t>
  </si>
  <si>
    <t>9JVA1UJJ</t>
  </si>
  <si>
    <t>RIO GRANDE</t>
  </si>
  <si>
    <t>F/S .050 SHEET CAN BE CUT TO SIZE</t>
  </si>
  <si>
    <t>FS050SH</t>
  </si>
  <si>
    <t>VZDP4HWL</t>
  </si>
  <si>
    <t>FS050SH_160824-105107_160920-133654_180312-150149_190320-144429_190322-134107_190425-170858_200120-140709_210127-181131_220527-182357_230425-140439.jpg</t>
  </si>
  <si>
    <t>14Y050SH</t>
  </si>
  <si>
    <t xml:space="preserve">18KY 008 SHEET </t>
  </si>
  <si>
    <t>18Y008SH</t>
  </si>
  <si>
    <t>1DU8EAFM</t>
  </si>
  <si>
    <t>LEACH-GARNER</t>
  </si>
  <si>
    <t>10KY .010 SHEET CAN BE CUT TO SIZE</t>
  </si>
  <si>
    <t>10Y010SH</t>
  </si>
  <si>
    <t>50JU6C68</t>
  </si>
  <si>
    <t>10Y010SH.jpg</t>
  </si>
  <si>
    <t>18KY .020 SHEET CAN BE CUT TO SIZE</t>
  </si>
  <si>
    <t>18Y020SH</t>
  </si>
  <si>
    <t>LNRA5RQJ</t>
  </si>
  <si>
    <t>18Y020SH_160824-095436_171129-151358_180604-133246_180817-142401_181113-174829_190102-143644_190102-145212_190304-150719_200204-182039_210929-150324_220614-135632_230814-162408.jpg</t>
  </si>
  <si>
    <t>10KY .012 SHEET CAN BE CUT TO SIZE</t>
  </si>
  <si>
    <t>10Y012SH</t>
  </si>
  <si>
    <t>3FY6J26E</t>
  </si>
  <si>
    <t>10Y012SH.jpg</t>
  </si>
  <si>
    <t>10KY .015 SHEET CAN BE CUT TO SIZE</t>
  </si>
  <si>
    <t>10Y015SH</t>
  </si>
  <si>
    <t>J84DCDUA</t>
  </si>
  <si>
    <t>10Y015SH.jpg</t>
  </si>
  <si>
    <t xml:space="preserve">18KW PALLADIUM 4" X 2" X .040 FLAT SHEET
</t>
  </si>
  <si>
    <t>18WP040SH</t>
  </si>
  <si>
    <t>UYWM3CY0</t>
  </si>
  <si>
    <t>10KY .020 SHEET CAN BE CUT TO SIZE</t>
  </si>
  <si>
    <t>10Y020SH</t>
  </si>
  <si>
    <t>LEYCP59H</t>
  </si>
  <si>
    <t>10Y020SH.jpg</t>
  </si>
  <si>
    <t>10KY .025 SHEET CAN BE CUT TO SIZE</t>
  </si>
  <si>
    <t>10Y025SH</t>
  </si>
  <si>
    <t>8MJCYK5W</t>
  </si>
  <si>
    <t>10Y025SH.jpg</t>
  </si>
  <si>
    <t xml:space="preserve">LEACH GARNER-STERN METALS </t>
  </si>
  <si>
    <t>10KY .040 SHEET CAN BE CUT TO SIZE</t>
  </si>
  <si>
    <t>10Y040SH</t>
  </si>
  <si>
    <t>10KY .060 SHEET CAN BE CUT TO SIZE</t>
  </si>
  <si>
    <t>10Y060SH</t>
  </si>
  <si>
    <t>0P3JC5CJ</t>
  </si>
  <si>
    <t>10Y060SH.jpg</t>
  </si>
  <si>
    <t>S/S .060 ARGENTIUM SHEET</t>
  </si>
  <si>
    <t>SS060ASH</t>
  </si>
  <si>
    <t>DUE3P58D</t>
  </si>
  <si>
    <t>LEACH &amp; GARNER</t>
  </si>
  <si>
    <t>G/F .020 SHEET CAN BE CUT TO SIZE</t>
  </si>
  <si>
    <t>GF020SH</t>
  </si>
  <si>
    <t>S/S .050 SHEET CAN BE CUT TO SIZE</t>
  </si>
  <si>
    <t>SS050SH</t>
  </si>
  <si>
    <t>CDACDZ68</t>
  </si>
  <si>
    <t>SS050SH_161020-134728_161024-193855_170424-133045_170727-190459_170928-143314_170928-144947_180228-165152_180803-132434_180920-135202_181126-142044_190524-130830_200624-132947_210127-174203_210412-134157_220214-154716_240220-141843_241119-164800.jpg</t>
  </si>
  <si>
    <t>14KY .200 SHEET CAN BE CUT TO SIZE</t>
  </si>
  <si>
    <t>14Y200SH</t>
  </si>
  <si>
    <t>NTWK2XA5</t>
  </si>
  <si>
    <t>14Y200SH.jpg</t>
  </si>
  <si>
    <t>SS020SH</t>
  </si>
  <si>
    <t>10KY .070 SHEET CAN BE CUT TO SIZE</t>
  </si>
  <si>
    <t>10Y070SH</t>
  </si>
  <si>
    <t>8LJA70Q3</t>
  </si>
  <si>
    <t>10Y070SH.jpg</t>
  </si>
  <si>
    <t>10KY .200 SHEET</t>
  </si>
  <si>
    <t xml:space="preserve"> CAN BE CUT TO SIZE</t>
  </si>
  <si>
    <t>10Y200SH</t>
  </si>
  <si>
    <t>3VP72F0A</t>
  </si>
  <si>
    <t>10Y200SH.jpg</t>
  </si>
  <si>
    <t>14KW .160 SHEET CAN BE CUT TO SIZE</t>
  </si>
  <si>
    <t>14W160SH</t>
  </si>
  <si>
    <t>6TAJ1VNA</t>
  </si>
  <si>
    <t>14W160SH.jpg</t>
  </si>
  <si>
    <t>J.M.</t>
  </si>
  <si>
    <t>PLATINUM .160 SHEET CAN BE CUT TO SIZE</t>
  </si>
  <si>
    <t>PT160SH</t>
  </si>
  <si>
    <t>091N4VEJ</t>
  </si>
  <si>
    <t>PT160SH.jpg</t>
  </si>
  <si>
    <t>18KG .060 SHEET CAN BE CUT TO SIZE</t>
  </si>
  <si>
    <t>18G060SH</t>
  </si>
  <si>
    <t>FLP7D8LQ</t>
  </si>
  <si>
    <t>18G060SH.jpg</t>
  </si>
  <si>
    <t>18KY .090 SHEET CAN BE CUT TO SIZE</t>
  </si>
  <si>
    <t>18Y090SH</t>
  </si>
  <si>
    <t>TTR57APL</t>
  </si>
  <si>
    <t>18Y090SH.jpg</t>
  </si>
  <si>
    <t>FS020SH</t>
  </si>
  <si>
    <t>14KY 050 SHEET</t>
  </si>
  <si>
    <t>T3CYJQZ0</t>
  </si>
  <si>
    <t>18KY .015 SHEET CAN BE CUT TO SIZE</t>
  </si>
  <si>
    <t>18Y015SH</t>
  </si>
  <si>
    <t>K5P7M4H7</t>
  </si>
  <si>
    <t>18Y015SH_160902-132831_170629-135417_180207-145426_180917-175912_190503-132311_200204-182154_210617-133955_220104-205649_220614-140018_230911-170458_230912-163627_241111-201757_251010-140557.jpg</t>
  </si>
  <si>
    <t>G/F .012 SHEET CAN BE CUT TO SIZE</t>
  </si>
  <si>
    <t>GF012SH</t>
  </si>
  <si>
    <t>ZCYY0TAW</t>
  </si>
  <si>
    <t>GF012SH.jpg</t>
  </si>
  <si>
    <t>S/S .090 SHEET CUT TO SIZE</t>
  </si>
  <si>
    <t>SS090SH</t>
  </si>
  <si>
    <t>LZUHXNJE</t>
  </si>
  <si>
    <t>SS090SH.jpg</t>
  </si>
  <si>
    <t>14KW .008 WSHEET CAN BE CUT TO SIZE</t>
  </si>
  <si>
    <t>14W008SH</t>
  </si>
  <si>
    <t>Y9DK8FFU</t>
  </si>
  <si>
    <t>14W008SH.jpg</t>
  </si>
  <si>
    <t>BRASS 025 SHEET</t>
  </si>
  <si>
    <t>BSC-025SH</t>
  </si>
  <si>
    <t>T97R1VUF</t>
  </si>
  <si>
    <t>Showcase 1 Tray 12</t>
  </si>
  <si>
    <t>10KY .005 SHEET CAN BE CUT TO SIZE</t>
  </si>
  <si>
    <t>10Y005SH</t>
  </si>
  <si>
    <t>A4U6UD8F</t>
  </si>
  <si>
    <t>10Y005SH.jpg</t>
  </si>
  <si>
    <t>14KW .040 SHEET CAN BE CUT TO SIZE</t>
  </si>
  <si>
    <t>14W040SH</t>
  </si>
  <si>
    <t>490CRN4E</t>
  </si>
  <si>
    <t>14W040SH_161014-201347_201203-140426.jpg</t>
  </si>
  <si>
    <t>COPPER .040 SHEET</t>
  </si>
  <si>
    <t>COPPER040SH</t>
  </si>
  <si>
    <t>VTQE9YHL</t>
  </si>
  <si>
    <t>MILLARD WIRE</t>
  </si>
  <si>
    <t>BRASS .040 SHEET</t>
  </si>
  <si>
    <t>BRASS040SH</t>
  </si>
  <si>
    <t>22KY .125 SHEET CUT TO SIZE</t>
  </si>
  <si>
    <t>22Y125SH</t>
  </si>
  <si>
    <t>82H6L9AF</t>
  </si>
  <si>
    <t>22Y125SH.jpg</t>
  </si>
  <si>
    <t>14Y035SH</t>
  </si>
  <si>
    <t>14KW .035 SHEET CAN BE CUT TO SIZE</t>
  </si>
  <si>
    <t>14W035SH</t>
  </si>
  <si>
    <t>EMA19LUJ</t>
  </si>
  <si>
    <t>14W035SH.jpg</t>
  </si>
  <si>
    <t xml:space="preserve">MARCO POLO PRECIOUS METALS  </t>
  </si>
  <si>
    <t>PLATINUM .040 SHEET CAN BE CUT TO SIZE</t>
  </si>
  <si>
    <t>PT040SH</t>
  </si>
  <si>
    <t>JTCZ13LL</t>
  </si>
  <si>
    <t>PT040SH_191028-135017_200313-143408_221214-145458.jpg</t>
  </si>
  <si>
    <t>S/S .025 SHEET CAN BE CUT TO SIZE</t>
  </si>
  <si>
    <t>SS025SH</t>
  </si>
  <si>
    <t>53010YWE</t>
  </si>
  <si>
    <t>BRASS 02O SHEET</t>
  </si>
  <si>
    <t>BRASS020SH</t>
  </si>
  <si>
    <t>WP5XX64L</t>
  </si>
  <si>
    <t>JK FINDINGS</t>
  </si>
  <si>
    <t xml:space="preserve">18KW SHEET WITH PALLADIUM </t>
  </si>
  <si>
    <t>18WPD040SH</t>
  </si>
  <si>
    <t>26UJCZEA</t>
  </si>
  <si>
    <t>ROTAX METALS , INC.</t>
  </si>
  <si>
    <t>BSC-040SH</t>
  </si>
  <si>
    <t>18KP .020 SHEET CAN BE CUT TO SIZE</t>
  </si>
  <si>
    <t>18P020SH</t>
  </si>
  <si>
    <t>YL5N0CTX</t>
  </si>
  <si>
    <t>18P020SH_250714-145342.jpg</t>
  </si>
  <si>
    <t>N/S .030 SHEET CAN BE CUT TO SIZE</t>
  </si>
  <si>
    <t>NS030SH</t>
  </si>
  <si>
    <t>ZA38LQNE</t>
  </si>
  <si>
    <t xml:space="preserve">14KY  6.75" X 10MM X .050 FLAT SHEET
</t>
  </si>
  <si>
    <t>14Y10X050SH</t>
  </si>
  <si>
    <t>8E0RD3WE</t>
  </si>
  <si>
    <t>E55F9X3P</t>
  </si>
  <si>
    <t>18KY .025 SHEET CAN BE CUT TO SIZE</t>
  </si>
  <si>
    <t>18Y025SH</t>
  </si>
  <si>
    <t>A91VYEXX</t>
  </si>
  <si>
    <t>18Y025SH_180228-165650_181113-175028_220104-205742_220901-172833_230809-183826.jpg</t>
  </si>
  <si>
    <t>10KY .008 SHEET CAN BE CUT TO SIZE</t>
  </si>
  <si>
    <t>10Y008SH</t>
  </si>
  <si>
    <t>PN3WZ96T</t>
  </si>
  <si>
    <t>10Y008SH.jpg</t>
  </si>
  <si>
    <t xml:space="preserve">14KP 11MM X 1.25MM FLAT SHEET </t>
  </si>
  <si>
    <t>14P11X1.25FW</t>
  </si>
  <si>
    <t>EA5V4TJE</t>
  </si>
  <si>
    <t>BRASS SHEET HALF HARD 060</t>
  </si>
  <si>
    <t>BSC-060SH</t>
  </si>
  <si>
    <t>0M2KCL0E</t>
  </si>
  <si>
    <t>G/F .075 SHEET (SPECIAL ORDER ONLY)CAN BE CUT TO SIZE</t>
  </si>
  <si>
    <t>GF075SH</t>
  </si>
  <si>
    <t>6APQYRTE</t>
  </si>
  <si>
    <t>GF075SH.jpg</t>
  </si>
  <si>
    <t>F/S .060 SHEET CAN BE CUT TO SIZE</t>
  </si>
  <si>
    <t>FS060SH</t>
  </si>
  <si>
    <t>LRXWFH5T</t>
  </si>
  <si>
    <t>FS060SH.jpg</t>
  </si>
  <si>
    <t>F/S .080 SHEET CAN BE CUT TO SIZE</t>
  </si>
  <si>
    <t>FS080SH</t>
  </si>
  <si>
    <t>19HUHHXY</t>
  </si>
  <si>
    <t>FS080SH.jpg</t>
  </si>
  <si>
    <t>14KG .060 SHEET CAN BE CUT TO SIZE</t>
  </si>
  <si>
    <t>14G060SH</t>
  </si>
  <si>
    <t>LA356T3K</t>
  </si>
  <si>
    <t>14G060SH.jpg</t>
  </si>
  <si>
    <t>14KY .030 SHEET CAN BE CUT TO SIZE</t>
  </si>
  <si>
    <t>14Y030SH</t>
  </si>
  <si>
    <t>7XRFPHLD</t>
  </si>
  <si>
    <t>14Y030SH_170227-150241_170928-150746_180604-140650_200115-171214_210812-144721_240611-142743_250827-133007.jpg</t>
  </si>
  <si>
    <t xml:space="preserve">14KW PALLADIUM 4" X 2" X .040 FLAT SHEET
</t>
  </si>
  <si>
    <t>14WP040SH</t>
  </si>
  <si>
    <t>1A1P662N</t>
  </si>
  <si>
    <t>PLATINUM .070 SHEET CAN BE CUT TO SIZE</t>
  </si>
  <si>
    <t>PT070SH</t>
  </si>
  <si>
    <t>RPD0DDXA</t>
  </si>
  <si>
    <t>PT070SH.jpg</t>
  </si>
  <si>
    <t>18KY .035 SHEET CAN BE CUT TO SIZE</t>
  </si>
  <si>
    <t>18Y035SH</t>
  </si>
  <si>
    <t>MRDXFRKQ</t>
  </si>
  <si>
    <t>18Y035SH.jpg</t>
  </si>
  <si>
    <t>18KG .030 SHEET CAN BE CUT TO SIZE</t>
  </si>
  <si>
    <t>18G030SH</t>
  </si>
  <si>
    <t>RH60VZP9</t>
  </si>
  <si>
    <t>18G030SH.jpg</t>
  </si>
  <si>
    <t>18KY .080 SHEET CAN BE CUT TO SIZE</t>
  </si>
  <si>
    <t>18Y080SH</t>
  </si>
  <si>
    <t>2KNPKPA0</t>
  </si>
  <si>
    <t>S/S .005 SHEET CAN BE CUT TO SIZE</t>
  </si>
  <si>
    <t>SS005SH</t>
  </si>
  <si>
    <t>DV3LNN87</t>
  </si>
  <si>
    <t>SS005SH.jpg</t>
  </si>
  <si>
    <t>UMICORE PRECIOUS METAL USA</t>
  </si>
  <si>
    <t>22KY .025 SHEET CAN BE CUT TO SIZE</t>
  </si>
  <si>
    <t>22Y025SH</t>
  </si>
  <si>
    <t>FQM48YAC</t>
  </si>
  <si>
    <t>18KY 14"X40MMX.030 FLAT SHEET</t>
  </si>
  <si>
    <t>18Y40X030FSH</t>
  </si>
  <si>
    <t>KU18L331</t>
  </si>
  <si>
    <t>14Y1.5FW.jpg</t>
  </si>
  <si>
    <t>18KP .015 SHEET CAN BE CUT TO SIZE</t>
  </si>
  <si>
    <t>18P015SH</t>
  </si>
  <si>
    <t>7T1M175E</t>
  </si>
  <si>
    <t>18P015SH.jpg</t>
  </si>
  <si>
    <t>18KP .025 SHEET CAN BE CUT TO SIZE</t>
  </si>
  <si>
    <t>18P025SH</t>
  </si>
  <si>
    <t>V29257Q3</t>
  </si>
  <si>
    <t>18P025SH_170403-141357.jpg</t>
  </si>
  <si>
    <t>18KP .030 SHEET CAN BE CUT TO SIZE</t>
  </si>
  <si>
    <t>18P030SH</t>
  </si>
  <si>
    <t>4XQ50MT7</t>
  </si>
  <si>
    <t>18P030SH.jpg</t>
  </si>
  <si>
    <t>18KP .040 SHEET CAN BE CUT TO SIZE</t>
  </si>
  <si>
    <t>18P040SH</t>
  </si>
  <si>
    <t>A2276TMK</t>
  </si>
  <si>
    <t>18P040SH_170323-134742.jpg</t>
  </si>
  <si>
    <t>18KP .060 SHEET CAN BE CUT TO SIZE</t>
  </si>
  <si>
    <t>18P060SH</t>
  </si>
  <si>
    <t>K4WFJ731</t>
  </si>
  <si>
    <t>18P060SH.jpg</t>
  </si>
  <si>
    <t>18KP .050 SHEET CAN BE CUT TO SIZE</t>
  </si>
  <si>
    <t>18P050SH</t>
  </si>
  <si>
    <t>D086UF1D</t>
  </si>
  <si>
    <t>18P050SH.jpg</t>
  </si>
  <si>
    <t>14KY 035 SHEET</t>
  </si>
  <si>
    <t>DKT4D1MK</t>
  </si>
  <si>
    <t>10KY .050 SHEET CAN BE CUT TO SIZE</t>
  </si>
  <si>
    <t>10Y050SH</t>
  </si>
  <si>
    <t>1N143CXJ</t>
  </si>
  <si>
    <t>10Y050SH.jpg</t>
  </si>
  <si>
    <t>S/S .200 SHEET CAN BE CUT TO SIZE</t>
  </si>
  <si>
    <t>SS200SH</t>
  </si>
  <si>
    <t>SS200SH.jpg</t>
  </si>
  <si>
    <t>F/S .020 SHEET CAN BE CUT TO SIZE</t>
  </si>
  <si>
    <t>2XA9RNCA</t>
  </si>
  <si>
    <t>18KY .005 SHEET CAN BE CUT TO SIZE</t>
  </si>
  <si>
    <t>18Y005SH</t>
  </si>
  <si>
    <t>139UNX0L</t>
  </si>
  <si>
    <t>18Y005SH.jpg</t>
  </si>
  <si>
    <t>14KW .100 SHEET CAN BE CUT TO SIZE</t>
  </si>
  <si>
    <t>14W100SH</t>
  </si>
  <si>
    <t>N9QF0ZJK</t>
  </si>
  <si>
    <t>14W100SH.jpg</t>
  </si>
  <si>
    <t xml:space="preserve">14KY 040 SHEET </t>
  </si>
  <si>
    <t>14Y040SH</t>
  </si>
  <si>
    <t>EK0CLE6V</t>
  </si>
  <si>
    <t>Showcase 1 Tray 11</t>
  </si>
  <si>
    <t>14KG .100 SHEET CAN BE CUT TO SIZE</t>
  </si>
  <si>
    <t>14G100SH</t>
  </si>
  <si>
    <t>HH1JRTU8</t>
  </si>
  <si>
    <t>14G100SH.jpg</t>
  </si>
  <si>
    <t>18KW .010 SHEET CAN BE CUT TO SIZE</t>
  </si>
  <si>
    <t>18W010SH</t>
  </si>
  <si>
    <t>LDE9PD7R</t>
  </si>
  <si>
    <t>18W010SH.jpg</t>
  </si>
  <si>
    <t>14KY .125 SHEET CAN BE CUT TO SIZE</t>
  </si>
  <si>
    <t>14Y125SH</t>
  </si>
  <si>
    <t>QXHFVHF3</t>
  </si>
  <si>
    <t>14Y125SH_190618-182222.jpg</t>
  </si>
  <si>
    <t>18KY .200 SHEET CAN BE CUT TO SIZE</t>
  </si>
  <si>
    <t>18Y200SH</t>
  </si>
  <si>
    <t>CENLLV45</t>
  </si>
  <si>
    <t>18Y200SH.jpg</t>
  </si>
  <si>
    <t>18KW .100 SHEET CAN BE CUT TO SIZE</t>
  </si>
  <si>
    <t>18W100SH</t>
  </si>
  <si>
    <t>BRASS SHEET HALF HARD 030</t>
  </si>
  <si>
    <t>BSC-030SH</t>
  </si>
  <si>
    <t>5AWFEEQP</t>
  </si>
  <si>
    <t>F/S .012 SHEET CAN BE CUT TO SIZE</t>
  </si>
  <si>
    <t>FS012SH</t>
  </si>
  <si>
    <t>X35UACLC</t>
  </si>
  <si>
    <t>FS012SH_211005-170935.jpg</t>
  </si>
  <si>
    <t>18KW .025 SHEET CAN BE CUT TO SIZE</t>
  </si>
  <si>
    <t>18W025SH</t>
  </si>
  <si>
    <t>10KY .030 SHEET CAN BE CUT TO SIZE
STULLER</t>
  </si>
  <si>
    <t>10Y030SH</t>
  </si>
  <si>
    <t>D5D90R1L</t>
  </si>
  <si>
    <t xml:space="preserve">S/S .020 SHEET CAN BE CUT TO SIZE </t>
  </si>
  <si>
    <t>KX11DNDC</t>
  </si>
  <si>
    <t>18KG .010 SHEET CAN BE CUT TO SIZE</t>
  </si>
  <si>
    <t>18G015SH</t>
  </si>
  <si>
    <t>P2WDKWZZ</t>
  </si>
  <si>
    <t>18G015SH.jpg</t>
  </si>
  <si>
    <t>18G020SH</t>
  </si>
  <si>
    <t>Z9LMUL8R</t>
  </si>
  <si>
    <t>18G020SH.jpg</t>
  </si>
  <si>
    <t>14KG .080 SHEET CAN BE CUT TO SIZE</t>
  </si>
  <si>
    <t>14G080SH</t>
  </si>
  <si>
    <t>XHU8JMZA</t>
  </si>
  <si>
    <t>14G080SH.jpg</t>
  </si>
  <si>
    <t>S/S .150 SHEET CAN BE CUT TO SIZE</t>
  </si>
  <si>
    <t>SS150SH</t>
  </si>
  <si>
    <t>661NR608</t>
  </si>
  <si>
    <t>SS150SH.jpg</t>
  </si>
  <si>
    <t>18KP .080 SHEET</t>
  </si>
  <si>
    <t>18P080SH</t>
  </si>
  <si>
    <t>WZYJLYP0</t>
  </si>
  <si>
    <t>18KG .040 SHEET CAN BE CUT TO SIZE</t>
  </si>
  <si>
    <t>18G040SH</t>
  </si>
  <si>
    <t>18G040SH.jpg</t>
  </si>
  <si>
    <t>CRXQJQX7</t>
  </si>
  <si>
    <t>18W100SH_231101-140936_251028-161451.jpg,18W100SH_231101-140936_251028-161503.jpg</t>
  </si>
  <si>
    <t>14KY .005 SHEET CAN BE CUT TO SIZE</t>
  </si>
  <si>
    <t>14Y005SH</t>
  </si>
  <si>
    <t>9XA7M7NK</t>
  </si>
  <si>
    <t>14Y005SH.jpg</t>
  </si>
  <si>
    <t>14KW .200 SHEET CAN BE CUT TO SIZE</t>
  </si>
  <si>
    <t>14W200SH</t>
  </si>
  <si>
    <t>796N9EH1</t>
  </si>
  <si>
    <t>14W200SH.jpg</t>
  </si>
  <si>
    <t>10KY .125 SHEET CAN BE CUT TO SIZE</t>
  </si>
  <si>
    <t>10Y125SH</t>
  </si>
  <si>
    <t>V1RWJ15T</t>
  </si>
  <si>
    <t>10Y125SH.jpg</t>
  </si>
  <si>
    <t>10KY .080 SHEET CAN BE CUT TO SIZE</t>
  </si>
  <si>
    <t>10Y080SH</t>
  </si>
  <si>
    <t>RHWD02A6</t>
  </si>
  <si>
    <t>10Y080SH.jpg</t>
  </si>
  <si>
    <t>14KY .025 SHEET CAN BE CUT TO SIZE</t>
  </si>
  <si>
    <t>14Y025SH</t>
  </si>
  <si>
    <t>PK94X9DM</t>
  </si>
  <si>
    <t>14Y025SH_160718-150010_180207-150346_180716-173851_190923-192811_200203-142538_220614-135918_250214-174157.jpg</t>
  </si>
  <si>
    <t>PLATINUM .008 SHEET CAN BE CUT TO SIZE</t>
  </si>
  <si>
    <t>PT008SH</t>
  </si>
  <si>
    <t>3TTT9HNH</t>
  </si>
  <si>
    <t>PT008SH.jpg</t>
  </si>
  <si>
    <t>18KW 6mm X 3mm flat stock</t>
  </si>
  <si>
    <t>18W6X3W</t>
  </si>
  <si>
    <t>YKNDP3EQ</t>
  </si>
  <si>
    <t>18W6X3W.jpg</t>
  </si>
  <si>
    <t>18KY .25 X .030 FLAT SHEET</t>
  </si>
  <si>
    <t>18Y.25X030FSH</t>
  </si>
  <si>
    <t>7M8XZDAU</t>
  </si>
  <si>
    <t>COBB COMPANY</t>
  </si>
  <si>
    <t xml:space="preserve">BRASS 040 SHEET </t>
  </si>
  <si>
    <t>5RYH2RR7</t>
  </si>
  <si>
    <t>18KW .090 SHEET CAN BE CUT TO SIZE</t>
  </si>
  <si>
    <t>18W090SH</t>
  </si>
  <si>
    <t>XE6TAFLX</t>
  </si>
  <si>
    <t>18W090SH.jpg</t>
  </si>
  <si>
    <t>22KY .040 SHEET CAN BE CUT TO SIZE</t>
  </si>
  <si>
    <t>22Y040SH</t>
  </si>
  <si>
    <t>9MFUZRMV</t>
  </si>
  <si>
    <t>18KG .025 SHEET CAN BE CUT TO SIZE</t>
  </si>
  <si>
    <t>18G025SH</t>
  </si>
  <si>
    <t>HPMQXLZY</t>
  </si>
  <si>
    <t>18G025SH.jpg</t>
  </si>
  <si>
    <t>S/S .030 SHEET CAN BE CUT TO SIZE</t>
  </si>
  <si>
    <t>SS030SH</t>
  </si>
  <si>
    <t>27KUYC9C</t>
  </si>
  <si>
    <t>22KY .015 SHEET CAN BE CUT TO SIZE</t>
  </si>
  <si>
    <t>22Y015SH</t>
  </si>
  <si>
    <t>60YAHEYT</t>
  </si>
  <si>
    <t>22Y015SH_160824-101515_180314-183041_181113-201127_221115-181738_231122-175907_240322-140941.jpg</t>
  </si>
  <si>
    <t>14KY .020 SHEET CAN BE CUT TO SIZE</t>
  </si>
  <si>
    <t>14Y020SH</t>
  </si>
  <si>
    <t>63V4KL06</t>
  </si>
  <si>
    <t>14Y020SH_170525-201738_180620-190837_181217-183533_181220-154137_200113-193224_210810-141628_231020-181943.jpg</t>
  </si>
  <si>
    <t>PLATINUM .080 SHEET CAN BE CUT TO SIZE</t>
  </si>
  <si>
    <t>PT080SH</t>
  </si>
  <si>
    <t>7J0HY8YT</t>
  </si>
  <si>
    <t>PT080SH_230209-184413.jpg</t>
  </si>
  <si>
    <t xml:space="preserve">14KY 9MM X 1.25MM FLAT SHEET </t>
  </si>
  <si>
    <t>14Y9X1.25FW</t>
  </si>
  <si>
    <t>V6KUY6LC</t>
  </si>
  <si>
    <t>N89H9FXW</t>
  </si>
  <si>
    <t>10Y040SH_200831-131644.jpg</t>
  </si>
  <si>
    <t>18KY .25 X .040 FLAT SHEET</t>
  </si>
  <si>
    <t>18Y.25X040FSH</t>
  </si>
  <si>
    <t>JQPR02RD</t>
  </si>
  <si>
    <t>BRASS SHEET HALF HARD 032</t>
  </si>
  <si>
    <t>BSC-032</t>
  </si>
  <si>
    <t>EAZKTV13</t>
  </si>
  <si>
    <t>COPPER SHEET 030</t>
  </si>
  <si>
    <t>COPPER030SH</t>
  </si>
  <si>
    <t>FFHMFK2D</t>
  </si>
  <si>
    <t>14KY .008 SHEET CAN BE CUT TO SIZE</t>
  </si>
  <si>
    <t>14Y008SH</t>
  </si>
  <si>
    <t>AKVJAZHK</t>
  </si>
  <si>
    <t>14Y008SH_160629-095549_171020-161612_171024-154357_190503-143759_210617-134108.jpg</t>
  </si>
  <si>
    <t>EUU7Q3RW</t>
  </si>
  <si>
    <t>PLATINUM .090 SHEET CAN BE CUT TO SIZE</t>
  </si>
  <si>
    <t>PT090SH</t>
  </si>
  <si>
    <t>UN9ZUYTP</t>
  </si>
  <si>
    <t>PT090SH.jpg</t>
  </si>
  <si>
    <t>LEACH GARNER- GENERAL FINDINGS</t>
  </si>
  <si>
    <t xml:space="preserve">WRONG ITEM ! </t>
  </si>
  <si>
    <t>18Y010SH</t>
  </si>
  <si>
    <t>XYL1772H</t>
  </si>
  <si>
    <t>18Y010SH_170629-135332_180926-135648_180926-140309_190621-180352.jpg</t>
  </si>
  <si>
    <t>14KY .010 SHEET CAN BE CUT TO SIZE</t>
  </si>
  <si>
    <t>14Y010SH</t>
  </si>
  <si>
    <t>01K6Q7TA</t>
  </si>
  <si>
    <t>14Y010SH_180716-173546.jpg</t>
  </si>
  <si>
    <t>14KY .012 SHEET CAN BE CUT TO SIZE</t>
  </si>
  <si>
    <t>14Y012SH</t>
  </si>
  <si>
    <t>6UQFCNDP</t>
  </si>
  <si>
    <t>14Y012SH_210617-134503_241204-145026_250124-172847.jpg</t>
  </si>
  <si>
    <t>14KY .015 SHEET CAN BE CUT TO SIZE</t>
  </si>
  <si>
    <t>14Y015SH</t>
  </si>
  <si>
    <t>RKRM2HJQ</t>
  </si>
  <si>
    <t>14Y015SH_180604-134047_190215-190024_220330-173112_241204-144835.jpg</t>
  </si>
  <si>
    <t>14KG .040 SHEET CAN BE CUT TO SIZE</t>
  </si>
  <si>
    <t>14G040SH</t>
  </si>
  <si>
    <t>NQDW2WP9</t>
  </si>
  <si>
    <t>14G040SH.jpg</t>
  </si>
  <si>
    <t>BRASS SHEET HALF HARD 062</t>
  </si>
  <si>
    <t>BSC-062SH</t>
  </si>
  <si>
    <t>VRVA7HFP</t>
  </si>
  <si>
    <t>10KY .250 SHEET CAN BE CUT TO SIZE</t>
  </si>
  <si>
    <t>10Y250SH</t>
  </si>
  <si>
    <t>PQQ6JC86</t>
  </si>
  <si>
    <t>10Y250SH.jpg</t>
  </si>
  <si>
    <t>14KW .005 SHEET CAN BE CUT TO SIZE</t>
  </si>
  <si>
    <t>14W005SH</t>
  </si>
  <si>
    <t>479HFT2Q</t>
  </si>
  <si>
    <t>14W005SH.jpg</t>
  </si>
  <si>
    <t>14KY .060 SHEET CAN BE CUT TO SIZE</t>
  </si>
  <si>
    <t>14Y060SH</t>
  </si>
  <si>
    <t>9QC50ZWN</t>
  </si>
  <si>
    <t>14Y060SH_180709-142442_211222-154458.jpg</t>
  </si>
  <si>
    <t>14KY .080 SHEET CAN BE CUT TO SIZE</t>
  </si>
  <si>
    <t>14Y080SH</t>
  </si>
  <si>
    <t>Z93ETHHY</t>
  </si>
  <si>
    <t>14Y080SH.jpg</t>
  </si>
  <si>
    <t>22KY .005 SHEET CAN BE CUT TO SIZE</t>
  </si>
  <si>
    <t>22Y005SH</t>
  </si>
  <si>
    <t>ARZTU3A9</t>
  </si>
  <si>
    <t>22Y005SH.jpg</t>
  </si>
  <si>
    <t>22KY .090 SHEET CAN BE CUT TO SIZE</t>
  </si>
  <si>
    <t>22Y090SH</t>
  </si>
  <si>
    <t>W86ZZQUZ</t>
  </si>
  <si>
    <t>22Y090SH.jpg</t>
  </si>
  <si>
    <t>PLATINUM .025 SHEET CAN BE CUT TO SIZE</t>
  </si>
  <si>
    <t>PT025SH</t>
  </si>
  <si>
    <t>T91JZXFW</t>
  </si>
  <si>
    <t>PT025SH.jpg</t>
  </si>
  <si>
    <t>18KY .070 SHEET CAN BE CUT TO SIZE</t>
  </si>
  <si>
    <t>18Y070SH</t>
  </si>
  <si>
    <t>2M2C0797</t>
  </si>
  <si>
    <t>18Y070SH.jpg</t>
  </si>
  <si>
    <t>14KY .160 SHEET CAN BE CUT TO SIZE</t>
  </si>
  <si>
    <t>14Y160SH</t>
  </si>
  <si>
    <t>8DLTHPLZ</t>
  </si>
  <si>
    <t>14Y160SH_190621-181255.jpg</t>
  </si>
  <si>
    <t>14KW .010 SHEET CAN BE CUT TO SIZE</t>
  </si>
  <si>
    <t>14W010SH</t>
  </si>
  <si>
    <t>NRDMV8ZU</t>
  </si>
  <si>
    <t>14W010SH_170516-163836.jpg</t>
  </si>
  <si>
    <t>14KW .012 SHEET CAN BE CUT TO SIZE</t>
  </si>
  <si>
    <t>14W012SH</t>
  </si>
  <si>
    <t>YXXMP06W</t>
  </si>
  <si>
    <t>14W012SH.jpg</t>
  </si>
  <si>
    <t>22KY .080 SHEET CAN BE CUT TO SIZE</t>
  </si>
  <si>
    <t>22Y080SH</t>
  </si>
  <si>
    <t>LR09LRP2</t>
  </si>
  <si>
    <t>22Y080SH.jpg</t>
  </si>
  <si>
    <t>14KW .015 SHEET CAN BE CUT TO SIZE</t>
  </si>
  <si>
    <t>14W015SH</t>
  </si>
  <si>
    <t>3MR2UMTH</t>
  </si>
  <si>
    <t>14W015SH.jpg</t>
  </si>
  <si>
    <t>14KW .020 SHEET CAN BE CUT TO SIZE</t>
  </si>
  <si>
    <t>14W020SH</t>
  </si>
  <si>
    <t>2E80QRQL</t>
  </si>
  <si>
    <t>14W020SH_220728-194546.jpg</t>
  </si>
  <si>
    <t>14KW .025 SHEET CAN BE CUT TO SIZE</t>
  </si>
  <si>
    <t>14W025SH</t>
  </si>
  <si>
    <t>VVLVHL1Q</t>
  </si>
  <si>
    <t>14W025SH_180716-174207.jpg</t>
  </si>
  <si>
    <t>14KW .030 SHEET CAN BE CUT TO SIZE</t>
  </si>
  <si>
    <t>14W030SH</t>
  </si>
  <si>
    <t>8M25ENU3</t>
  </si>
  <si>
    <t>14W030SH_161014-200647_190103-152313.jpg</t>
  </si>
  <si>
    <t>14KW .050 SHEET CAN BE CUT TO SIZE</t>
  </si>
  <si>
    <t>14W050SH</t>
  </si>
  <si>
    <t>YKEDVZYL</t>
  </si>
  <si>
    <t>14W050SH.jpg</t>
  </si>
  <si>
    <t>S/S .035 SHEET CAN BE CUT TO SIZE</t>
  </si>
  <si>
    <t>SS035SH</t>
  </si>
  <si>
    <t>2D9U6LY4</t>
  </si>
  <si>
    <t>FLATSHEET.jpg</t>
  </si>
  <si>
    <t>14KW .060 SHEET CAN BE CUT TO SIZE</t>
  </si>
  <si>
    <t>14W060SH</t>
  </si>
  <si>
    <t>MUMMXW2E</t>
  </si>
  <si>
    <t>14W060SH_180720-171124.jpg</t>
  </si>
  <si>
    <t>14KG .050 SHEET CAN BE CUT TO SIZE</t>
  </si>
  <si>
    <t>14G050SH</t>
  </si>
  <si>
    <t>D88KEKW1</t>
  </si>
  <si>
    <t>14G050SH.jpg</t>
  </si>
  <si>
    <t>14KW .080 SHEET CAN BE CUT TO SIZE</t>
  </si>
  <si>
    <t>14W080SH</t>
  </si>
  <si>
    <t>KUUTNK98</t>
  </si>
  <si>
    <t>14W080SH_180716-180518.jpg</t>
  </si>
  <si>
    <t>18KY.160 SHEET CAN BE CUT TO SIZE</t>
  </si>
  <si>
    <t>18Y160SH</t>
  </si>
  <si>
    <t>MF80AYPV</t>
  </si>
  <si>
    <t>18Y160SH.jpg</t>
  </si>
  <si>
    <t>14KW .125 SHEET CAN BE CUT TO SIZE</t>
  </si>
  <si>
    <t>14W125SH</t>
  </si>
  <si>
    <t>VM1117Z9</t>
  </si>
  <si>
    <t>14W125SH.jpg</t>
  </si>
  <si>
    <t>14KP .015 SHEET CAN BE CUT TO SIZE</t>
  </si>
  <si>
    <t>14P015SH</t>
  </si>
  <si>
    <t>6JE83Q5W</t>
  </si>
  <si>
    <t>14Y015SH_160629-095638_160719-110643.jpg</t>
  </si>
  <si>
    <t>14KP .020 SHEET CUT TO SIZE</t>
  </si>
  <si>
    <t>14P020SH</t>
  </si>
  <si>
    <t>WNCKUXRZ</t>
  </si>
  <si>
    <t>14P020SH.jpg</t>
  </si>
  <si>
    <t>14KP .025 SHEET CAN BE CUT TO SIZE</t>
  </si>
  <si>
    <t>14P025SH</t>
  </si>
  <si>
    <t>MCVHJZK1</t>
  </si>
  <si>
    <t>14P025SH.jpg</t>
  </si>
  <si>
    <t>14KP .030 SHEET CAN BE CUT TO SIZE</t>
  </si>
  <si>
    <t>14P030SH</t>
  </si>
  <si>
    <t>2NXKDR7P</t>
  </si>
  <si>
    <t>14P030SH.jpg</t>
  </si>
  <si>
    <t>14KP .040 SHEET CAN BE CUT TO SIZE</t>
  </si>
  <si>
    <t>14P040SH</t>
  </si>
  <si>
    <t>QWN3F92F</t>
  </si>
  <si>
    <t>14P040SH_171207-154222_200203-142703.jpg</t>
  </si>
  <si>
    <t>14KP .060 SHEET CAN BE CUT TO SIZE</t>
  </si>
  <si>
    <t>14P060SH</t>
  </si>
  <si>
    <t>JCTNH50P</t>
  </si>
  <si>
    <t>14P060SH_200221-151235.jpg</t>
  </si>
  <si>
    <t>18KW .005 SHEET CAN BE CUT TO SIZE</t>
  </si>
  <si>
    <t>18W005SH</t>
  </si>
  <si>
    <t>L9ZEUXY8</t>
  </si>
  <si>
    <t>18W005SH.jpg</t>
  </si>
  <si>
    <t>14KG .015 SHEET CAN BE CUT TO SIZE</t>
  </si>
  <si>
    <t>14G015SH</t>
  </si>
  <si>
    <t>LYQH2960</t>
  </si>
  <si>
    <t>14G015SH.jpg</t>
  </si>
  <si>
    <t>14KP .100 SHEET CAN BE CUT TO SIZE</t>
  </si>
  <si>
    <t>14P100SH</t>
  </si>
  <si>
    <t>V8601M9H</t>
  </si>
  <si>
    <t>14P100SH.jpg</t>
  </si>
  <si>
    <t>14KY .250 SHEET CAN BE CUT TO SIZE</t>
  </si>
  <si>
    <t>14Y250SH</t>
  </si>
  <si>
    <t>HV0MYNJC</t>
  </si>
  <si>
    <t>14Y250SH.jpg</t>
  </si>
  <si>
    <t>14KG .025 SHEET CAN BE CUT TO SIZE</t>
  </si>
  <si>
    <t>14G025SH</t>
  </si>
  <si>
    <t>4YNKLDJA</t>
  </si>
  <si>
    <t>14G025SH.jpg</t>
  </si>
  <si>
    <t>F/S .125 SHEET CAN BE CUT TO SIZE</t>
  </si>
  <si>
    <t>FS125SH</t>
  </si>
  <si>
    <t>RT2KA15N</t>
  </si>
  <si>
    <t xml:space="preserve">18KW .060 SHEET CAN BE CUT TO SIZE </t>
  </si>
  <si>
    <t>CZPF30H7</t>
  </si>
  <si>
    <t>G/F .015 SHEET SHEET CAN BE CUT TO SIZE</t>
  </si>
  <si>
    <t>GF015SH</t>
  </si>
  <si>
    <t>HTYK43FQ</t>
  </si>
  <si>
    <t>GF015SH_170403-145305.jpg</t>
  </si>
  <si>
    <t>7F6KJWPD</t>
  </si>
  <si>
    <t>10Y025SH_170403-145403_170824-190848_170928-175356_191122-151435_211214-185549_211217-204319.jpg</t>
  </si>
  <si>
    <t>18KW .160 SHEET CAN BE CUT TO SIZE</t>
  </si>
  <si>
    <t>18W160SH</t>
  </si>
  <si>
    <t>2ZAQF91Z</t>
  </si>
  <si>
    <t>18W160SH.jpg</t>
  </si>
  <si>
    <t>SS040SH</t>
  </si>
  <si>
    <t>18KW PALLADIUM 040 SHEET</t>
  </si>
  <si>
    <t>18KWPD040SH</t>
  </si>
  <si>
    <t>36LQUKK8</t>
  </si>
  <si>
    <t>18W030SH_210723-162253_211001-161603_211105-160410.jpg</t>
  </si>
  <si>
    <t>PLATINUM .012 SHEET CAN BE CUT TO SIZE</t>
  </si>
  <si>
    <t>PT012SH</t>
  </si>
  <si>
    <t>A8ARCWWU</t>
  </si>
  <si>
    <t>PT012SH.jpg</t>
  </si>
  <si>
    <t>NICKEL SILVER .050 SHEET</t>
  </si>
  <si>
    <t>NS050SH</t>
  </si>
  <si>
    <t>3713AM3H</t>
  </si>
  <si>
    <t>18KW .125 X .030 FLAT SHEET</t>
  </si>
  <si>
    <t>18W.125X030FSH</t>
  </si>
  <si>
    <t>D7AT6NVH</t>
  </si>
  <si>
    <t>S/S .040 SHEET CAN BE CUT TO SIZE</t>
  </si>
  <si>
    <t>KUWWLYP7</t>
  </si>
  <si>
    <t>14KY .070 SHEET CAN BE CUT TO SIZE</t>
  </si>
  <si>
    <t>14Y070SH</t>
  </si>
  <si>
    <t>NH5J2D7Z</t>
  </si>
  <si>
    <t>14Y070SH.jpg</t>
  </si>
  <si>
    <t>8MNAQU35</t>
  </si>
  <si>
    <t>S/S .050 ARGENTIUM SHEET</t>
  </si>
  <si>
    <t>SS050ASH</t>
  </si>
  <si>
    <t>8D2PZVQH</t>
  </si>
  <si>
    <t>SS050ASH.jpg</t>
  </si>
  <si>
    <t xml:space="preserve">S/S 040 ARGENTIUM SHEET
</t>
  </si>
  <si>
    <t>SS040ASH</t>
  </si>
  <si>
    <t>KVC295JV</t>
  </si>
  <si>
    <t>SS040ASH.jpg</t>
  </si>
  <si>
    <t>18KW .008 SHEET CAN BE CUT TO SIZE</t>
  </si>
  <si>
    <t>18W008SH</t>
  </si>
  <si>
    <t>F025VNN3</t>
  </si>
  <si>
    <t>18W008SH.jpg</t>
  </si>
  <si>
    <t>18KW .012 SHEET CAN BE CUT TO SIZE</t>
  </si>
  <si>
    <t>18W012SH</t>
  </si>
  <si>
    <t>67Q1PNV9</t>
  </si>
  <si>
    <t>18W012SH.jpg</t>
  </si>
  <si>
    <t>18KW .015 SHEET CAN BE CUT TO SIZE</t>
  </si>
  <si>
    <t>18W015SH</t>
  </si>
  <si>
    <t>D789CTJV</t>
  </si>
  <si>
    <t>18W015SH.jpg</t>
  </si>
  <si>
    <t>18KW .020 SHEET CAN BE CUT TO SIZE</t>
  </si>
  <si>
    <t>18W020SH</t>
  </si>
  <si>
    <t>4HM89MT7</t>
  </si>
  <si>
    <t>18W020SH.jpg</t>
  </si>
  <si>
    <t>S/S .025 ARGENTIUM SHEET</t>
  </si>
  <si>
    <t>SS025ASH</t>
  </si>
  <si>
    <t>T6RC5JZK</t>
  </si>
  <si>
    <t>18KG.020 SHEET CAN BE CUT TO SIZE</t>
  </si>
  <si>
    <t>18K  SHEET CAN BE CUT TO SIZE</t>
  </si>
  <si>
    <t>18KP</t>
  </si>
  <si>
    <t>E2K6EW5P</t>
  </si>
  <si>
    <t>18KW .030 SHEET CAN BE CUT TO SIZE</t>
  </si>
  <si>
    <t>18W030SH</t>
  </si>
  <si>
    <t>18KW .050 SHEET CAN BE CUT TO SIZE</t>
  </si>
  <si>
    <t>18W050SH</t>
  </si>
  <si>
    <t>3E0X9LX0</t>
  </si>
  <si>
    <t>18W050SH.jpg</t>
  </si>
  <si>
    <t xml:space="preserve">14KP 152MM X 18MM FLAT SHEET </t>
  </si>
  <si>
    <t>14P152X18X050FW</t>
  </si>
  <si>
    <t>N9Q92ZMT</t>
  </si>
  <si>
    <t>18KW .070 SHEET CAN BE CUT TO SIZE</t>
  </si>
  <si>
    <t>18W070SH</t>
  </si>
  <si>
    <t>K0D72NZ8</t>
  </si>
  <si>
    <t>18W070SH_171222-170041.jpg</t>
  </si>
  <si>
    <t>18KW .080 SHEET CAN BE CUT TO SIZE</t>
  </si>
  <si>
    <t>18W080SH</t>
  </si>
  <si>
    <t>FR7K1664</t>
  </si>
  <si>
    <t>18W080SH.jpg</t>
  </si>
  <si>
    <t>14KW .250 SHEET CAN BE CUT TO SIZE</t>
  </si>
  <si>
    <t>14W250SH</t>
  </si>
  <si>
    <t>ZNWJ7L9Y</t>
  </si>
  <si>
    <t>14W250SH.jpg</t>
  </si>
  <si>
    <t>22KY .070 SHEET CAN BE CUT TO SIZE</t>
  </si>
  <si>
    <t>22Y070SH</t>
  </si>
  <si>
    <t>Q8NC6XWV</t>
  </si>
  <si>
    <t>22Y070SH.jpg</t>
  </si>
  <si>
    <t>10KY .090 SHEET CAN BE CUT TO SIZE</t>
  </si>
  <si>
    <t>10Y090SH</t>
  </si>
  <si>
    <t>DEH9813U</t>
  </si>
  <si>
    <t>10Y090SH.jpg</t>
  </si>
  <si>
    <t>22KY .100 SHEET CAN BE CUT TO SIZE</t>
  </si>
  <si>
    <t>22Y100SH</t>
  </si>
  <si>
    <t>Q6FVP4WV</t>
  </si>
  <si>
    <t>22Y100SH.jpg</t>
  </si>
  <si>
    <t>18KY .060 SHEET CAN BE CUT TO SIZE</t>
  </si>
  <si>
    <t>18Y060SH</t>
  </si>
  <si>
    <t>ZH02J2NE</t>
  </si>
  <si>
    <t>18Y060SH_181017-141734_190117-191044_190201-154447_210129-150049_240327-144223.jpg</t>
  </si>
  <si>
    <t>18KY .030 SHEET CAN BE CUT TO SIZE</t>
  </si>
  <si>
    <t>18Y030SH</t>
  </si>
  <si>
    <t>14KW .025 SPRING SHEET CAN BE CUT TO SIZE</t>
  </si>
  <si>
    <t>14W025SSH</t>
  </si>
  <si>
    <t>APWVD334</t>
  </si>
  <si>
    <t>14W025SSH.jpg</t>
  </si>
  <si>
    <t>18KW .125 SHEET CAN BE CUT TO SIZE</t>
  </si>
  <si>
    <t>18W125SH</t>
  </si>
  <si>
    <t>TJ6Z6R73</t>
  </si>
  <si>
    <t>18W125SH.jpg</t>
  </si>
  <si>
    <t>18KY .040 SHEET CAN BE CUT TO SIZE</t>
  </si>
  <si>
    <t>18Y040SH</t>
  </si>
  <si>
    <t>14KY .090 SHEET CAN BE CUT TO SIZE</t>
  </si>
  <si>
    <t>14Y090SH</t>
  </si>
  <si>
    <t>T20FENHV</t>
  </si>
  <si>
    <t>14Y090SH.jpg</t>
  </si>
  <si>
    <t>14KG .030 SHEET CAN BE CUT TO SIZE</t>
  </si>
  <si>
    <t>14G030SH</t>
  </si>
  <si>
    <t>4PZTL8EM</t>
  </si>
  <si>
    <t>14G030SH.jpg</t>
  </si>
  <si>
    <t>18KY .050 SHEET CAN BE CUT TO SIZE</t>
  </si>
  <si>
    <t>18Y050SH</t>
  </si>
  <si>
    <t>ZYCM36YK</t>
  </si>
  <si>
    <t>18Y050SH_170216-153512_181217-184535_210426-183028_230814-161815.jpg</t>
  </si>
  <si>
    <t>14KW .090 SHEET CAN BE CUT TO SIZE</t>
  </si>
  <si>
    <t>14W090SH</t>
  </si>
  <si>
    <t>E5CYNJ10</t>
  </si>
  <si>
    <t>14W090SH.jpg</t>
  </si>
  <si>
    <t>18KY .100 SHEET CAN BE CUT TO SIZE</t>
  </si>
  <si>
    <t>18Y100SH</t>
  </si>
  <si>
    <t>YU8M4Y0K</t>
  </si>
  <si>
    <t>18Y100SH.jpg</t>
  </si>
  <si>
    <t>18KY .125 SHEET CAN BE CUT TO SIZE</t>
  </si>
  <si>
    <t>18Y125SH</t>
  </si>
  <si>
    <t>D2JYPR45</t>
  </si>
  <si>
    <t>18Y125SH.jpg</t>
  </si>
  <si>
    <t>18KY .018 SHEET CAN BE CUT TO SIZE</t>
  </si>
  <si>
    <t>18Y018SH</t>
  </si>
  <si>
    <t>VNWTFMD1</t>
  </si>
  <si>
    <t>18Y018SH.jpg</t>
  </si>
  <si>
    <t>S/S ARGENTIUM .030 SHEET</t>
  </si>
  <si>
    <t>SS030ASH</t>
  </si>
  <si>
    <t>5KA80LZX</t>
  </si>
  <si>
    <t>SS030ASH.jpg</t>
  </si>
  <si>
    <t>14KY .100 SHEET CAN BE CUT TO SIZE</t>
  </si>
  <si>
    <t>14Y100SH</t>
  </si>
  <si>
    <t>MHJMVN0L</t>
  </si>
  <si>
    <t>14Y100SH.jpg</t>
  </si>
  <si>
    <t>18KP .010 SHEET CAN BE CUT TO SIZE</t>
  </si>
  <si>
    <t>18P010SH</t>
  </si>
  <si>
    <t>9MQM89T4</t>
  </si>
  <si>
    <t>18P010SH.jpg</t>
  </si>
  <si>
    <t>14KW .070 SHEET CAN BE CUT TO SIZE</t>
  </si>
  <si>
    <t>14W070SH</t>
  </si>
  <si>
    <t>8M0745KA</t>
  </si>
  <si>
    <t>14W070SH.jpg</t>
  </si>
  <si>
    <t>F/S .040 SHEET CAN BE CUT TO SIZE</t>
  </si>
  <si>
    <t>FS040SH</t>
  </si>
  <si>
    <t>KMJ9VN0F</t>
  </si>
  <si>
    <t>SS040PTW_180131-150333_190220-163356_190304-150314_190320-144727_191101-125641_220527-163902_251105-152635.jpg</t>
  </si>
  <si>
    <t>F/S .015 SHEET CAN BE CUT TO SIZE</t>
  </si>
  <si>
    <t>FS015SH</t>
  </si>
  <si>
    <t>4JKHTAAV</t>
  </si>
  <si>
    <t>FS015SH_170516-143626_190321-183205.jpg</t>
  </si>
  <si>
    <t>14KP .080 SHEET CAN BE CUT TO SIZE</t>
  </si>
  <si>
    <t>14P080SH</t>
  </si>
  <si>
    <t>86V3F5N2</t>
  </si>
  <si>
    <t>14P080SH.jpg</t>
  </si>
  <si>
    <t>5U87430Z</t>
  </si>
  <si>
    <t>18W030SH_210723-162253_211001-161603_250827-132931.jpg</t>
  </si>
  <si>
    <t>BRASS SHEET HALF HARD 020</t>
  </si>
  <si>
    <t>BSC-020SH</t>
  </si>
  <si>
    <t>6KVKLCV1</t>
  </si>
  <si>
    <t>F/S .005 SHEET CAN BE CUT TO SIZE</t>
  </si>
  <si>
    <t>FS005SH</t>
  </si>
  <si>
    <t>EMYCDJZP</t>
  </si>
  <si>
    <t>18KW 6MM X 3MM FLAT WIRE</t>
  </si>
  <si>
    <t>18W6X2W</t>
  </si>
  <si>
    <t>5CT4Z15J</t>
  </si>
  <si>
    <t>18W6X3W_170601-174222_170601-174356.jpg</t>
  </si>
  <si>
    <t>F/S .030 SHEET CAN BE CUT TO SIZE</t>
  </si>
  <si>
    <t>FS030SH</t>
  </si>
  <si>
    <t>1UZ83V4A</t>
  </si>
  <si>
    <t>FS030SH_190506-142241_200723-183736_251105-152611.jpg</t>
  </si>
  <si>
    <t>G/F .005 SHEET SHEET CAN BE CUT TO SIZE</t>
  </si>
  <si>
    <t>GF005SH</t>
  </si>
  <si>
    <t>8KQRY9FH</t>
  </si>
  <si>
    <t>GF015SH_160824-101342_161220-143945_170424-140413_190131-171314_191118-194207.jpg</t>
  </si>
  <si>
    <t>1EA21APY</t>
  </si>
  <si>
    <t>18Y040SH_170216-153325_170724-135730_180604-132446_181029-165306_230922-173832_251030-192919.jpg</t>
  </si>
  <si>
    <t>22KY .030 SHEET CAN BE CUT TO SIZE</t>
  </si>
  <si>
    <t>22Y030SH</t>
  </si>
  <si>
    <t>0KHVR6DL</t>
  </si>
  <si>
    <t>22Y030SH_180314-183906_241008-132922.jpg</t>
  </si>
  <si>
    <t>S/S .015 SHEET CAN BE CUT TO SIZE</t>
  </si>
  <si>
    <t>SS015SH</t>
  </si>
  <si>
    <t>UW9RW21W</t>
  </si>
  <si>
    <t>SS015SH_161219-212826_170424-140239_170424-140545_181220-163848_190124-141427_200131-153642_200226-181057_200617-182433_221102-182400.jpg</t>
  </si>
  <si>
    <t xml:space="preserve">G/F .025 SHEET </t>
  </si>
  <si>
    <t>GF025SH</t>
  </si>
  <si>
    <t>CDJNUKYV</t>
  </si>
  <si>
    <t>S/S .060 SHEET CAN BE CUT TO SIZE</t>
  </si>
  <si>
    <t>SS060SH</t>
  </si>
  <si>
    <t>E4R6UDY9</t>
  </si>
  <si>
    <t xml:space="preserve">BRASS .050 SHEET </t>
  </si>
  <si>
    <t>BRASS050SH</t>
  </si>
  <si>
    <t>2JTJ2D32</t>
  </si>
  <si>
    <t>BRASS SHEET HALF HARD 050</t>
  </si>
  <si>
    <t>BSC-050SH</t>
  </si>
  <si>
    <t>65K9DDMT</t>
  </si>
  <si>
    <t>22KY .010 SHEET CAN BE CUT TO SIZE</t>
  </si>
  <si>
    <t>22Y010SH</t>
  </si>
  <si>
    <t>AC6KUT1Y</t>
  </si>
  <si>
    <t>Showcase 1 Tray 1</t>
  </si>
  <si>
    <t>S/S .008 SHEET CAN BE CUT TO SIZE</t>
  </si>
  <si>
    <t>SS008SH</t>
  </si>
  <si>
    <t>Q2T00FRW</t>
  </si>
  <si>
    <t>SS008SH_231031-184124.jpg</t>
  </si>
  <si>
    <t>S/S .010 SHEET CAN BE CUT TO SIZE</t>
  </si>
  <si>
    <t>SS010SH</t>
  </si>
  <si>
    <t>W6R8LY4Y</t>
  </si>
  <si>
    <t>SS010SH_180807-171202.jpg</t>
  </si>
  <si>
    <t>S/S .012 SHEET CAN BE CUT TO SIZE</t>
  </si>
  <si>
    <t>SS012SH</t>
  </si>
  <si>
    <t>55KNH5J7</t>
  </si>
  <si>
    <t>SS012SH_161121-195219_180514-192600_210412-134715_220915-135000.jpg</t>
  </si>
  <si>
    <t>22KY .008 SHEET CAN BE CUT TO SIZE</t>
  </si>
  <si>
    <t>22Y008SH</t>
  </si>
  <si>
    <t>67Y8W3LQ</t>
  </si>
  <si>
    <t>22Y008SH.jpg</t>
  </si>
  <si>
    <t>PY21QEX3</t>
  </si>
  <si>
    <t>18Y030SH_160824-095526_170201-212341_180220-193850_190215-190441_230809-183750.jpg</t>
  </si>
  <si>
    <t>22KY .012 SHEET CAN BE CUT TO SIZE</t>
  </si>
  <si>
    <t>22Y012SH</t>
  </si>
  <si>
    <t>2EACEV36</t>
  </si>
  <si>
    <t>22Y012SH.jpg</t>
  </si>
  <si>
    <t>22KY .020 SHEET CAN BE CUT TO SIZE</t>
  </si>
  <si>
    <t>22Y020SH</t>
  </si>
  <si>
    <t>BRASS SHEET HALF HARD 025</t>
  </si>
  <si>
    <t>BSC-025</t>
  </si>
  <si>
    <t>Z4RCYFV1</t>
  </si>
  <si>
    <t>22KY .050 SHEET CAN BE CUT TO SIZE</t>
  </si>
  <si>
    <t>22Y050SH</t>
  </si>
  <si>
    <t>VPXDHYDJ</t>
  </si>
  <si>
    <t>22Y050SH.jpg</t>
  </si>
  <si>
    <t>22KY .060 SHEET CAN BE CUT TO SIZE</t>
  </si>
  <si>
    <t>22Y060SH</t>
  </si>
  <si>
    <t>8ZWJ891C</t>
  </si>
  <si>
    <t>22Y060SH_160701-091845.jpg</t>
  </si>
  <si>
    <t>PLATINUM .005 SHEET CUT TO SIZE</t>
  </si>
  <si>
    <t>PT005SH</t>
  </si>
  <si>
    <t>2EYKQ3U3</t>
  </si>
  <si>
    <t>PT005SH.jpg</t>
  </si>
  <si>
    <t>PLATINUM .020 SHEET CAN BE CUT TO SIZE</t>
  </si>
  <si>
    <t>PT020SH</t>
  </si>
  <si>
    <t>AR52VQRM</t>
  </si>
  <si>
    <t>PT020SH_210303-144901.jpg</t>
  </si>
  <si>
    <t>PLATINUM .010 SHEET CAN BE CUT TO SIZE</t>
  </si>
  <si>
    <t>PT010SH</t>
  </si>
  <si>
    <t>ZH7KR3TH</t>
  </si>
  <si>
    <t>PT010SH.jpg</t>
  </si>
  <si>
    <t>PLATINUM .015 SHEET CAN BE CUT TO SIZE</t>
  </si>
  <si>
    <t>PT015SH</t>
  </si>
  <si>
    <t>QJ12LNM6</t>
  </si>
  <si>
    <t>PT015SH.jpg</t>
  </si>
  <si>
    <t>PLATINUM .030 SHEET CAN BE CUT TO SIZE</t>
  </si>
  <si>
    <t>PT030SH</t>
  </si>
  <si>
    <t>8ZVD9Z2J</t>
  </si>
  <si>
    <t>PT030SH.jpg</t>
  </si>
  <si>
    <t>PLATINUM .050 SHEET CAN BE CUT TO SIZE</t>
  </si>
  <si>
    <t>PT050SH</t>
  </si>
  <si>
    <t>K0QZPXA8</t>
  </si>
  <si>
    <t>PT050SH.jpg</t>
  </si>
  <si>
    <t>PLATINUM .060 SHEET CAN BE CUT TO SIZE</t>
  </si>
  <si>
    <t>PT060SH</t>
  </si>
  <si>
    <t>38TFJU4D</t>
  </si>
  <si>
    <t>PT060SH_250829-170112.jpg</t>
  </si>
  <si>
    <t>PLATINUM .100 SHEET CAN BE CUT TO SIZE</t>
  </si>
  <si>
    <t>PT100SH</t>
  </si>
  <si>
    <t>L5Q1PRZJ</t>
  </si>
  <si>
    <t>PT100SH.jpg</t>
  </si>
  <si>
    <t>JOHNSON MATTHEY</t>
  </si>
  <si>
    <t>PLATINUM .125 SHEET CAN BE CUT TO SIZE</t>
  </si>
  <si>
    <t>PT125SH</t>
  </si>
  <si>
    <t>L2KMPMP7</t>
  </si>
  <si>
    <t>PT125SH_160926-140840_170302-153742_180320-165040_181112-151151_181211-155543_190305-154405_190523-135903_190617-143157_191031-150404.jpg</t>
  </si>
  <si>
    <t>S/S .070 SHEET CAN BE CUT TO SIZE</t>
  </si>
  <si>
    <t>SS070SH</t>
  </si>
  <si>
    <t>QC6Y1QRE</t>
  </si>
  <si>
    <t>SS070SH.jpg</t>
  </si>
  <si>
    <t>AYNPAD87</t>
  </si>
  <si>
    <t>22Y020SH_180314-183718_230209-184205_231122-175950_240322-141037.jpg</t>
  </si>
  <si>
    <t xml:space="preserve">S/S .080 SHEET CAN BE CUT TO SIZE </t>
  </si>
  <si>
    <t>SS080SH</t>
  </si>
  <si>
    <t>D9WMXY5A</t>
  </si>
  <si>
    <t>SS080SH_160718-143140_170426-152246_171120-181432_180212-203518_181203-144941_190515-180132_200518-161133_220323-182836_221207-161550_250422-192752.jpg</t>
  </si>
  <si>
    <t>S/S .100 SHEET CAN BE CUT TO SIZE</t>
  </si>
  <si>
    <t>SS100SH</t>
  </si>
  <si>
    <t>PUHNQ9WL</t>
  </si>
  <si>
    <t>37N0RL54</t>
  </si>
  <si>
    <t>S/S .125 SHEET CAN BE CUT TO SIZE</t>
  </si>
  <si>
    <t>SS125SH</t>
  </si>
  <si>
    <t>0ALT6N03</t>
  </si>
  <si>
    <t>SS125SH_170901-180435_191118-193108_230117-175800.jpg</t>
  </si>
  <si>
    <t>S/S .160 SHEET CAN BE CUT TO SIZE</t>
  </si>
  <si>
    <t>SS160SH</t>
  </si>
  <si>
    <t>Z7ZM6YYY</t>
  </si>
  <si>
    <t>SS160SH.jpg</t>
  </si>
  <si>
    <t xml:space="preserve">COPPER 020 SHEET </t>
  </si>
  <si>
    <t>COPPER020SH</t>
  </si>
  <si>
    <t>38H726JA</t>
  </si>
  <si>
    <t>S/S .250 SHEET CAN BE CUT TO SIZE</t>
  </si>
  <si>
    <t>SS250SH</t>
  </si>
  <si>
    <t>M23NKUT3</t>
  </si>
  <si>
    <t>SS250SH.jpg</t>
  </si>
  <si>
    <t>F/S .010 SHEET CAN BE CUT TO SIZE</t>
  </si>
  <si>
    <t>FS010SH</t>
  </si>
  <si>
    <t>E4KJCVKU</t>
  </si>
  <si>
    <t>FS010SH_230209-152722.jpg</t>
  </si>
  <si>
    <t>F/S .025 SHEET CAN BE CUT TO SIZE</t>
  </si>
  <si>
    <t>FS025SH</t>
  </si>
  <si>
    <t>Z9N89HZA</t>
  </si>
  <si>
    <t>FS025SH_180207-151920_191018-195809.jpg</t>
  </si>
  <si>
    <t xml:space="preserve">18KW .040 SPRING SHEET CAN BE CUT TO SIZE </t>
  </si>
  <si>
    <t>L2L35AK7</t>
  </si>
  <si>
    <t xml:space="preserve">S/S 2.5MM SQUARE THIN WALL TUBING  </t>
  </si>
  <si>
    <t>SS2.5TNSTU</t>
  </si>
  <si>
    <t>NW2PJPTP</t>
  </si>
  <si>
    <t>TUBING</t>
  </si>
  <si>
    <t>SS6TKSTU.jpg</t>
  </si>
  <si>
    <t xml:space="preserve">18KY .120 ROUND THICK WALL TUBING </t>
  </si>
  <si>
    <t>18Y120TKRTU</t>
  </si>
  <si>
    <t>BRASS 12MM (5 3/4" ID X 5" OD )COILED ROUND TUBING</t>
  </si>
  <si>
    <t>BR7CTNSTU</t>
  </si>
  <si>
    <t>VHZJ70NE</t>
  </si>
  <si>
    <t>BR7CTNSTU.jpg</t>
  </si>
  <si>
    <t xml:space="preserve">S/S 10MM ROUND THICK WALL TUBING </t>
  </si>
  <si>
    <t>SS10TKRTU</t>
  </si>
  <si>
    <t>VM48XF3Z</t>
  </si>
  <si>
    <t>SS10TKRTU_170727-190957.jpg</t>
  </si>
  <si>
    <t xml:space="preserve">S/S 4.5MM ROUND THICK WALL TUBING </t>
  </si>
  <si>
    <t>SS4.5TKRTU</t>
  </si>
  <si>
    <t>AKMRYW6N</t>
  </si>
  <si>
    <t>SS4.5TKRTU.jpg</t>
  </si>
  <si>
    <t>18KY 2MM THICK WALL TUBING</t>
  </si>
  <si>
    <t>18Y2TKRTU</t>
  </si>
  <si>
    <t>DDF9560T</t>
  </si>
  <si>
    <t>14KY 4MM ROUND MEDIUM WALL TUBING (.015)</t>
  </si>
  <si>
    <t>14Y4MRTU</t>
  </si>
  <si>
    <t>AQNYYZFP</t>
  </si>
  <si>
    <t xml:space="preserve">18KY .065 STRAIGHT THICK TUBING </t>
  </si>
  <si>
    <t>18Y065TKRTU</t>
  </si>
  <si>
    <t>2PXHA1NE</t>
  </si>
  <si>
    <t>18Y080TKRTU.jpg</t>
  </si>
  <si>
    <t xml:space="preserve">18KW PALLADIUM 2MM ROUND MEDIUM WALL TUBING </t>
  </si>
  <si>
    <t>18WP2MRTU</t>
  </si>
  <si>
    <t>YLUTWY7R</t>
  </si>
  <si>
    <t>14KW 5MM ROUND MEDIUM WALL TUBING (.015)</t>
  </si>
  <si>
    <t>14W5MRTU</t>
  </si>
  <si>
    <t>D0VA0PCC</t>
  </si>
  <si>
    <t>18Y080TKRTU_161223-144100_161223-144416_170504-180518_170504-180709_170517-195616.jpg</t>
  </si>
  <si>
    <t>18KP 4MM THICK WALL ROUND TUBING</t>
  </si>
  <si>
    <t>18P160TKTU</t>
  </si>
  <si>
    <t>68P78LCH</t>
  </si>
  <si>
    <t xml:space="preserve">S/S 3.5MM SQUARE COILED TUBING </t>
  </si>
  <si>
    <t>SS3.5SQCTTU</t>
  </si>
  <si>
    <t>A1ZY6JDW</t>
  </si>
  <si>
    <t>4085BS.jpg</t>
  </si>
  <si>
    <t>MYRON TOBACK INC A/P</t>
  </si>
  <si>
    <t>18KY .065 STRAIGHT THICK TUBING 1FT</t>
  </si>
  <si>
    <t>IM-18Y065TKTU-18KY</t>
  </si>
  <si>
    <t>TT1KZK82</t>
  </si>
  <si>
    <t>IM-18Y065TKTU.jpg</t>
  </si>
  <si>
    <t>S/S COILED TUBING</t>
  </si>
  <si>
    <t>SS2.25MCTTU</t>
  </si>
  <si>
    <t>Z8T9N66V</t>
  </si>
  <si>
    <t>SS8CTTHTU.jpg</t>
  </si>
  <si>
    <t>PLATINUM 4MM ROUND THICK WALL TUBING</t>
  </si>
  <si>
    <t>PT4TKRTU</t>
  </si>
  <si>
    <t>E92JAK0J</t>
  </si>
  <si>
    <t>PT4.0TU_161107-143608_220930-141804.jpg</t>
  </si>
  <si>
    <t>18KY 2MM MEDIUM WALL TUBING (.080)</t>
  </si>
  <si>
    <t>18Y2MRTU</t>
  </si>
  <si>
    <t>PT3.5TKRTU</t>
  </si>
  <si>
    <t>HQVMWPJL</t>
  </si>
  <si>
    <t xml:space="preserve">18KY 3.25MM ROUND THIN WALL TUBING </t>
  </si>
  <si>
    <t>18Y3.25TNRTU</t>
  </si>
  <si>
    <t>ZQ3WKHFR</t>
  </si>
  <si>
    <t>18Y060TKTU_170321-145604.jpg</t>
  </si>
  <si>
    <t>14KW 1.5MM ROUND THIN WALL TUBING</t>
  </si>
  <si>
    <t>14W1.5TNRTU</t>
  </si>
  <si>
    <t>4VNY67RZ</t>
  </si>
  <si>
    <t>S/S 6MM SQUARE THICK WALL TUBING</t>
  </si>
  <si>
    <t>SS6TKSTU</t>
  </si>
  <si>
    <t>24LM66NA</t>
  </si>
  <si>
    <t>SS6TKSTU_170501-135601.jpg</t>
  </si>
  <si>
    <t xml:space="preserve">18KP 2.5MM ROUND TUBING THICK .010 WALL </t>
  </si>
  <si>
    <t>18P2.5TNRTU</t>
  </si>
  <si>
    <t>8H2A6664</t>
  </si>
  <si>
    <t>18P080TNRTU.jpg</t>
  </si>
  <si>
    <t>14KY 1.5MM ROUND THIN WALL TUBING</t>
  </si>
  <si>
    <t>14Y1.5TNRTU</t>
  </si>
  <si>
    <t>D6RHM5VU</t>
  </si>
  <si>
    <t>S/S 25MM ROUND THIN WALL TUBING</t>
  </si>
  <si>
    <t>SS25TNTU</t>
  </si>
  <si>
    <t>94T873LZ</t>
  </si>
  <si>
    <t>SS25TKRTU.jpg</t>
  </si>
  <si>
    <t>HMWA4WZV</t>
  </si>
  <si>
    <t xml:space="preserve">S/S 1MM SQUARE COILED TUBING </t>
  </si>
  <si>
    <t>SS1SQCTTU</t>
  </si>
  <si>
    <t>VVAZ0P2V</t>
  </si>
  <si>
    <t>18KY HEAVY WALL TUBING 4MM</t>
  </si>
  <si>
    <t>18Y4MMTKTU</t>
  </si>
  <si>
    <t>85L49ZY3</t>
  </si>
  <si>
    <t xml:space="preserve">18KY .200 ROUND THIN WALL TUBING </t>
  </si>
  <si>
    <t>18Y200TNRTU</t>
  </si>
  <si>
    <t>PLATINUM 3MM ROUND THIN WALL TUBING</t>
  </si>
  <si>
    <t>PT3TNRTU</t>
  </si>
  <si>
    <t>J90ERD79</t>
  </si>
  <si>
    <t>PT3.0TU.jpg</t>
  </si>
  <si>
    <t xml:space="preserve">18KP 2MM ROUND TUBING THICK .010 WALL </t>
  </si>
  <si>
    <t>18P2TNRTU</t>
  </si>
  <si>
    <t>62Z8TEPF</t>
  </si>
  <si>
    <t>IM-18Y065RTKTU-18KY</t>
  </si>
  <si>
    <t>W9QUW28Q</t>
  </si>
  <si>
    <t>IM-18Y065RTKTU.jpg</t>
  </si>
  <si>
    <t>14KW .070 ROUND THIN WALL TUBING</t>
  </si>
  <si>
    <t>14W070TNRTU</t>
  </si>
  <si>
    <t>NN0RAPT0</t>
  </si>
  <si>
    <t>18KY .060 ROUND THIN WALL TUBING .010"</t>
  </si>
  <si>
    <t>18Y060TNRTU</t>
  </si>
  <si>
    <t>V97A7YMC</t>
  </si>
  <si>
    <t>18Y060TKTU_170109-182310_190503-181019_240102-141557_250124-143446.jpg</t>
  </si>
  <si>
    <t xml:space="preserve">18KY THICK WALL TUBING </t>
  </si>
  <si>
    <t>18Y4TKRTU</t>
  </si>
  <si>
    <t>PF45HVQV</t>
  </si>
  <si>
    <t xml:space="preserve">18KW 4.5MM ROUND THIN WALL TUBING </t>
  </si>
  <si>
    <t>18W4.5TNRTU</t>
  </si>
  <si>
    <t>27N9XZF3</t>
  </si>
  <si>
    <t>18W4.5TNRTU.jpg</t>
  </si>
  <si>
    <t xml:space="preserve">18KP 3MM ROUND TUBING THICK .020 WALL </t>
  </si>
  <si>
    <t>18P3TKRTU</t>
  </si>
  <si>
    <t>ZW28T06F</t>
  </si>
  <si>
    <t>S/S 7MM ROUND COILED TUBING</t>
  </si>
  <si>
    <t>SS7CTTU</t>
  </si>
  <si>
    <t>AL49ZDDA</t>
  </si>
  <si>
    <t>18Y125TKTU.jpg</t>
  </si>
  <si>
    <t xml:space="preserve">S/S 20MM ROUND THIN WALL TUBING </t>
  </si>
  <si>
    <t>SS20TNRTU</t>
  </si>
  <si>
    <t>23UZM93P</t>
  </si>
  <si>
    <t xml:space="preserve">18KW .065 ROUND THICK WALL TUBING </t>
  </si>
  <si>
    <t>18W065TKRTU</t>
  </si>
  <si>
    <t>NHXUE24M</t>
  </si>
  <si>
    <t>14KY .160 SQUARE THICK WALL TUBING</t>
  </si>
  <si>
    <t>14Y160TKSTU</t>
  </si>
  <si>
    <t>0XP0VA9C</t>
  </si>
  <si>
    <t>18KY ROUND THICK WALL TUBING 4.5MM</t>
  </si>
  <si>
    <t>18Y4.5TKRTU</t>
  </si>
  <si>
    <t>QEM0YY0P</t>
  </si>
  <si>
    <t>PLATINUM 5MM ROUND THIN WALL TUBING</t>
  </si>
  <si>
    <t>PT5TNRTU</t>
  </si>
  <si>
    <t>L27HW7D0</t>
  </si>
  <si>
    <t>PT5.0TU.jpg</t>
  </si>
  <si>
    <t>18KY .080 STRAIGHT THICK TUBING 1FT</t>
  </si>
  <si>
    <t>IM-18Y080TKTU-18KY</t>
  </si>
  <si>
    <t>2XKFRJKQ</t>
  </si>
  <si>
    <t>IM-18Y080TKTU.jpg</t>
  </si>
  <si>
    <t xml:space="preserve">18KY 2MM ROUND THIN WALL </t>
  </si>
  <si>
    <t>18Y2.0TNRTU</t>
  </si>
  <si>
    <t>MWP44YFN</t>
  </si>
  <si>
    <t>S/S 13MM SQUARE THICK WALL TUBING</t>
  </si>
  <si>
    <t>SS13TKSTU</t>
  </si>
  <si>
    <t>PKE7UXE4</t>
  </si>
  <si>
    <t xml:space="preserve">18KY .100 ROUND THICK WALL TUBING </t>
  </si>
  <si>
    <t>18Y100TKRTU</t>
  </si>
  <si>
    <t>YALUEQA3</t>
  </si>
  <si>
    <t>18Y100TKRTU.jpg</t>
  </si>
  <si>
    <t>14KY 2MM ROUND MED WALL TUBING (.015)</t>
  </si>
  <si>
    <t>14Y2MRTU</t>
  </si>
  <si>
    <t>9DCR7UCF</t>
  </si>
  <si>
    <t>18KY 080 X020 STRAIGHT TUBING HEAVY WALL</t>
  </si>
  <si>
    <t>IM-18Y080TKSTU-18KY</t>
  </si>
  <si>
    <t>VN257MUA</t>
  </si>
  <si>
    <t>IM-18Y080TKSTU.jpg</t>
  </si>
  <si>
    <t>ALRUE Do All</t>
  </si>
  <si>
    <t>14KW .100 ROUND THIN WALL TUBING</t>
  </si>
  <si>
    <t>14W100TNRTU</t>
  </si>
  <si>
    <t>WDJZWZ3C</t>
  </si>
  <si>
    <t>14KP .040 ROUND THIN WALL TUBING</t>
  </si>
  <si>
    <t>14P040TNRTU</t>
  </si>
  <si>
    <t>AVFCCDL2</t>
  </si>
  <si>
    <t>14Y065TKTU_200624-125431.jpg</t>
  </si>
  <si>
    <t>14KW 1.1MM ROUND THIN WALL TUBING (.010)</t>
  </si>
  <si>
    <t>14W1.1TNRTU</t>
  </si>
  <si>
    <t>A7YK4ZJA</t>
  </si>
  <si>
    <t>18Y080TKRTU_210419-151053.jpg</t>
  </si>
  <si>
    <t xml:space="preserve">S/S 1.5MM SQUARE THIN WALL TUBING </t>
  </si>
  <si>
    <t>SS1.5TNSTU</t>
  </si>
  <si>
    <t>NWXCQ610</t>
  </si>
  <si>
    <t>18KW .100 ROUND THIN WALL TUBING</t>
  </si>
  <si>
    <t>18W100TNRTU</t>
  </si>
  <si>
    <t>LV5CXDZA</t>
  </si>
  <si>
    <t>14KP 4MM ROUND MEDIUM WALL TUBING (.015)</t>
  </si>
  <si>
    <t>14P4MRTU</t>
  </si>
  <si>
    <t>YQRZ8L4M</t>
  </si>
  <si>
    <t>PLATINUM 6MM ROUND THIN WALL TUBING</t>
  </si>
  <si>
    <t>PT6TNRTU</t>
  </si>
  <si>
    <t>KYJXUJHA</t>
  </si>
  <si>
    <t>PT6.0TU.jpg</t>
  </si>
  <si>
    <t>UETVDNNP</t>
  </si>
  <si>
    <t>18Y120TKRTU_200617-165538.jpg</t>
  </si>
  <si>
    <t xml:space="preserve">S/S HALF ROUND COILED TUBING </t>
  </si>
  <si>
    <t>SS7.5HRCTTU</t>
  </si>
  <si>
    <t>3EQD48EQ</t>
  </si>
  <si>
    <t>14KY .070 ROUND THIN WALL TUBING</t>
  </si>
  <si>
    <t>14Y070TNRTU</t>
  </si>
  <si>
    <t>XDVCW2UJ</t>
  </si>
  <si>
    <t>14Y070TNTU.jpg</t>
  </si>
  <si>
    <t>PLATINUM 2.5MM MEDIUM WALL ROUND TUBING (.015)</t>
  </si>
  <si>
    <t>PT2.5TKRTU</t>
  </si>
  <si>
    <t>P4MQYFYR</t>
  </si>
  <si>
    <t>18KY .120 ROUND THIN WALL TUBING</t>
  </si>
  <si>
    <t>18Y120TNRTU</t>
  </si>
  <si>
    <t>HAHUJQDX</t>
  </si>
  <si>
    <t>18Y120TNTU_200617-173107.jpg</t>
  </si>
  <si>
    <t>S/S COILED TUBING RD HOLLOW</t>
  </si>
  <si>
    <t>SS8CTTHTU</t>
  </si>
  <si>
    <t>RCY9QYFY</t>
  </si>
  <si>
    <t xml:space="preserve">18KY .070 ROUND THIN WALL TUBING </t>
  </si>
  <si>
    <t>18Y070TNRTU</t>
  </si>
  <si>
    <t>QKC375H2</t>
  </si>
  <si>
    <t>18KY .080 SQUARE THICK WALL TUBING</t>
  </si>
  <si>
    <t>18Y080TKSTU</t>
  </si>
  <si>
    <t>ADKHYMKL</t>
  </si>
  <si>
    <t>14KW 3.5MM ROUND HEAVY WALL TUBING (.020)</t>
  </si>
  <si>
    <t>14W3.5TKRTU</t>
  </si>
  <si>
    <t>NWP5H2C5</t>
  </si>
  <si>
    <t>SS100RTU</t>
  </si>
  <si>
    <t>7QUV5U4K</t>
  </si>
  <si>
    <t>SS2.25CTTU</t>
  </si>
  <si>
    <t>UHRQTRT3</t>
  </si>
  <si>
    <t>14KY .200 ROUND THIN WALL TUBING</t>
  </si>
  <si>
    <t>14Y200TNRTU</t>
  </si>
  <si>
    <t>5AFDAK8N</t>
  </si>
  <si>
    <t>S/S 1MM ROUND THICK WALL TUBING</t>
  </si>
  <si>
    <t>SS1.0TNRTU</t>
  </si>
  <si>
    <t>14KY .110 ROUND THIN WALL TUBING</t>
  </si>
  <si>
    <t>14Y110TNRTU</t>
  </si>
  <si>
    <t>E23HVPMH</t>
  </si>
  <si>
    <t>14Y110TNTU.jpg</t>
  </si>
  <si>
    <t>PLATINUM .080 ROUND TUBING</t>
  </si>
  <si>
    <t>PT080RTU</t>
  </si>
  <si>
    <t>N2DNCK6K</t>
  </si>
  <si>
    <t>PT080RTU.jpg</t>
  </si>
  <si>
    <t>18KP 5.1MM EXTRA HEAVY WALL (.025) ROUND TUBING</t>
  </si>
  <si>
    <t>18P5.0TKRTU</t>
  </si>
  <si>
    <t>EWUA25YW</t>
  </si>
  <si>
    <t>18P160TKTU.jpg</t>
  </si>
  <si>
    <t xml:space="preserve">18KY .150 ROUND THIN WALL TUBING </t>
  </si>
  <si>
    <t>18Y150TNRTU</t>
  </si>
  <si>
    <t>HC97JZ1C</t>
  </si>
  <si>
    <t>18KY 6MM ROUND MEDIUM WALL TUBING (.015)</t>
  </si>
  <si>
    <t>18Y6MRTU</t>
  </si>
  <si>
    <t>WQVR03L2</t>
  </si>
  <si>
    <t>18Y080TKRTU_161223-144100_161223-144416_170504-180518_170517-195807_211005-182130.jpg</t>
  </si>
  <si>
    <t xml:space="preserve">S/S 8.5 HALF ROUND COILED TUBING </t>
  </si>
  <si>
    <t>SS8.5HRCTTU</t>
  </si>
  <si>
    <t>CMLFM22Z</t>
  </si>
  <si>
    <t xml:space="preserve">18KW .070 ROUND THIN WALL TUBING </t>
  </si>
  <si>
    <t>18W070TNRTU</t>
  </si>
  <si>
    <t>U43QLQPK</t>
  </si>
  <si>
    <t>14W1.0TNRTU</t>
  </si>
  <si>
    <t>E6T265HZ</t>
  </si>
  <si>
    <t>S/S SQUARE THICK WALL TUBING</t>
  </si>
  <si>
    <t>SS1.5TKSTU</t>
  </si>
  <si>
    <t>QZNVWD21</t>
  </si>
  <si>
    <t>S/S 1.5MM ROUND THIN WALL TUBING</t>
  </si>
  <si>
    <t>SS1.5TNRTU</t>
  </si>
  <si>
    <t>LC4RXZR2</t>
  </si>
  <si>
    <t>SS1.5TNRTU.jpg</t>
  </si>
  <si>
    <t xml:space="preserve">S/S 2MM ROUND THIN WALL TUBING </t>
  </si>
  <si>
    <t>SS2TNRTU</t>
  </si>
  <si>
    <t>N0LLL100</t>
  </si>
  <si>
    <t>SS2TNRTU_160719-093625_200724-143617.jpg</t>
  </si>
  <si>
    <t>S/S 2.5MM ROUND THIN WALL TUBING</t>
  </si>
  <si>
    <t>SS2.5TNRTU</t>
  </si>
  <si>
    <t>W6AY0WMY</t>
  </si>
  <si>
    <t>18Y080TKRTU_170216-151018_230323-161036.jpg</t>
  </si>
  <si>
    <t>18KY 3MM ROUND THICK .020 WALL TUBING</t>
  </si>
  <si>
    <t>18Y3TKRTU</t>
  </si>
  <si>
    <t>CDKTW8TC</t>
  </si>
  <si>
    <t xml:space="preserve">S/S 3MM ROUND THIN WALL TUBING </t>
  </si>
  <si>
    <t>SS3TNRTU</t>
  </si>
  <si>
    <t>F5VU5168</t>
  </si>
  <si>
    <t>18Y080TKRTU_180416-150634_230323-153231.jpg</t>
  </si>
  <si>
    <t xml:space="preserve">S/S 4MM ROUND THIN WALL TUBING </t>
  </si>
  <si>
    <t>SS4TNRTU</t>
  </si>
  <si>
    <t>ERPHY7VW</t>
  </si>
  <si>
    <t>SS4TNSTU_161031-144120.jpg,SS4TNRTU_161031-144137.jpg</t>
  </si>
  <si>
    <t xml:space="preserve">S/S 4.5MM ROUND THIN WALL TUBING </t>
  </si>
  <si>
    <t>SS4.5TNRTU</t>
  </si>
  <si>
    <t>9FEY07K0</t>
  </si>
  <si>
    <t>PLATINUM 3MM ROUND MEDIUM WALL TUBING (.015)</t>
  </si>
  <si>
    <t>PT3TKRTU</t>
  </si>
  <si>
    <t>3P49XXK4</t>
  </si>
  <si>
    <t xml:space="preserve">S/S 5MM ROUND THIN WALL TUBING </t>
  </si>
  <si>
    <t>SS5TNRTU</t>
  </si>
  <si>
    <t>C82J00HY</t>
  </si>
  <si>
    <t>SS5TNRTU_180404-144509_180913-131534_240301-175535.jpg</t>
  </si>
  <si>
    <t xml:space="preserve">S/S 6MM ROUND THIN WALL TUBING </t>
  </si>
  <si>
    <t>SS6TNRTU</t>
  </si>
  <si>
    <t>626MNUCV</t>
  </si>
  <si>
    <t>SS6TNRTU_181004-141912.jpg</t>
  </si>
  <si>
    <t xml:space="preserve">S/S 8MM ROUND THIN WALL TUBING </t>
  </si>
  <si>
    <t>SS8TNRTU</t>
  </si>
  <si>
    <t>3VP6LKH3</t>
  </si>
  <si>
    <t>SS8TNRTU.jpg</t>
  </si>
  <si>
    <t xml:space="preserve">S/S 10MM ROUND THIN WALL TUBING </t>
  </si>
  <si>
    <t>SS10TNRTU</t>
  </si>
  <si>
    <t>9WDDL4TZ</t>
  </si>
  <si>
    <t>SS10TNRTU_160824-095951.jpg</t>
  </si>
  <si>
    <t xml:space="preserve">S/S 2MM ROUND THICK WALL TUBING </t>
  </si>
  <si>
    <t>SS2TKRTU</t>
  </si>
  <si>
    <t>KKR4HKYZ</t>
  </si>
  <si>
    <t>SS2TKRTU_160719-105849.jpg</t>
  </si>
  <si>
    <t>14KY .050 ROUND THIN WALL TUBING</t>
  </si>
  <si>
    <t>14Y050TNRTU</t>
  </si>
  <si>
    <t>14KY .065 ROUND THICK WALL TUBING</t>
  </si>
  <si>
    <t>14Y065TKRTU</t>
  </si>
  <si>
    <t>D6D7EEFA</t>
  </si>
  <si>
    <t>14Y065TKTU_160725-091453.jpg</t>
  </si>
  <si>
    <t>14KY .080 ROUND THIN WALL TUBING</t>
  </si>
  <si>
    <t>14Y080TNRTU</t>
  </si>
  <si>
    <t>H2L9XHK4</t>
  </si>
  <si>
    <t>14Y080TNTU_160719-094517.jpg</t>
  </si>
  <si>
    <t>14KY .100 ROUND THIN WALL TUBING</t>
  </si>
  <si>
    <t>14Y100TNRTU</t>
  </si>
  <si>
    <t>TC6HHYM4</t>
  </si>
  <si>
    <t>14Y100TNTU.jpg</t>
  </si>
  <si>
    <t>14KY .120 ROUND THIN WALL TUBING</t>
  </si>
  <si>
    <t>14Y120TNRTU</t>
  </si>
  <si>
    <t>UVEMAJET</t>
  </si>
  <si>
    <t>14KY .150 ROUND THIN WALL TUBING</t>
  </si>
  <si>
    <t>14Y150TNRTU</t>
  </si>
  <si>
    <t>6643V82D</t>
  </si>
  <si>
    <t xml:space="preserve">18KY .065 STRAIGHT THIN TUBING </t>
  </si>
  <si>
    <t>18Y065TRTU</t>
  </si>
  <si>
    <t>864VX73P</t>
  </si>
  <si>
    <t>14KY .160 ROUND THIN WALL TUBING</t>
  </si>
  <si>
    <t>14Y160TNRTU</t>
  </si>
  <si>
    <t>EN06FYFU</t>
  </si>
  <si>
    <t>14KY .180 ROUND THIN WALL TUBING</t>
  </si>
  <si>
    <t>14Y180TNRTU</t>
  </si>
  <si>
    <t>9K8DHVLF</t>
  </si>
  <si>
    <t>14KY .250 ROUND THIN WALL TUBING</t>
  </si>
  <si>
    <t>14Y250TNRTU</t>
  </si>
  <si>
    <t>VQNHK2DZ</t>
  </si>
  <si>
    <t>14KW .050 ROUND THIN WALL TUBING</t>
  </si>
  <si>
    <t>14W050TNRTU</t>
  </si>
  <si>
    <t>TAWWWD0P</t>
  </si>
  <si>
    <t>14KW .065 ROUND THICK WALL TUBING</t>
  </si>
  <si>
    <t>14W065TKRTU</t>
  </si>
  <si>
    <t>C1D0RQYF</t>
  </si>
  <si>
    <t>18Y080TKRTU_170403-141844.jpg</t>
  </si>
  <si>
    <t>S/S 2.5MM ROUND THICK WALL TUBING</t>
  </si>
  <si>
    <t>SS2.5TKRTU</t>
  </si>
  <si>
    <t>H1HZKADH</t>
  </si>
  <si>
    <t>SS2.5TKRTU_161223-153734.jpg</t>
  </si>
  <si>
    <t>S/S 3MM ROUND THICK WALL TUBING</t>
  </si>
  <si>
    <t>SS3TKRTU</t>
  </si>
  <si>
    <t>4N8MCRYM</t>
  </si>
  <si>
    <t>SS3TKRTU_171020-161142_200724-144936.jpg</t>
  </si>
  <si>
    <t xml:space="preserve">S/S 4MM ROUND THICK WALL TUBING </t>
  </si>
  <si>
    <t>SS4TKRTU</t>
  </si>
  <si>
    <t>V22MNT5K</t>
  </si>
  <si>
    <t>SS4TKRTU_200724-144756.jpg</t>
  </si>
  <si>
    <t xml:space="preserve">S/S 5MM ROUND THICK WALL TUBING </t>
  </si>
  <si>
    <t>SS5TKRTU</t>
  </si>
  <si>
    <t>1KTYX6E7</t>
  </si>
  <si>
    <t>SS8CTTHTU_231221-150100.jpg,SS8CTTHTU_231221-150121.jpg,SS5TNRTU_180404-144509_180913-131534_231221-150310.jpg,SS5TKRTU_161121-200742_231221-150410.jpg</t>
  </si>
  <si>
    <t xml:space="preserve">S/S 6MM ROUND THICK WALL TUBING </t>
  </si>
  <si>
    <t>SS6TKRTU</t>
  </si>
  <si>
    <t>V86LTQ0R</t>
  </si>
  <si>
    <t>SS6TKRTU_161121-200426_200901-133824.jpg</t>
  </si>
  <si>
    <t xml:space="preserve">S/S 8MM ROUND THICK WALL TUBING </t>
  </si>
  <si>
    <t>SS8TKRTU</t>
  </si>
  <si>
    <t>6HL23XKA</t>
  </si>
  <si>
    <t>SS8TKRTU_170809-143820_231218-151518.jpg</t>
  </si>
  <si>
    <t xml:space="preserve">S/S 13MM ROUND THICK WALL TUBING </t>
  </si>
  <si>
    <t>SS13TKRTU</t>
  </si>
  <si>
    <t>PMLEU83J</t>
  </si>
  <si>
    <t>SS13THRTU_160725-152536.jpg</t>
  </si>
  <si>
    <t>14KP 2MM ROUND THICK WALL TUBING (.020)</t>
  </si>
  <si>
    <t>14P2TKRTU</t>
  </si>
  <si>
    <t>FJH3W6QY</t>
  </si>
  <si>
    <t xml:space="preserve">S/S 16MM ROUND THICK WALL TUBING </t>
  </si>
  <si>
    <t>SS16TKRTU</t>
  </si>
  <si>
    <t>341UR3NT</t>
  </si>
  <si>
    <t>SS16TKRTU_180404-144048.jpg</t>
  </si>
  <si>
    <t xml:space="preserve">S/S 19MM ROUND THICK WALL TUBING </t>
  </si>
  <si>
    <t>SS19TKRTU</t>
  </si>
  <si>
    <t>0CL0RX4R</t>
  </si>
  <si>
    <t>18Y080TKRTU_180404-144323.jpg</t>
  </si>
  <si>
    <t>D3A62XQY</t>
  </si>
  <si>
    <t>STRAIGHTTUBING_191126-203356.jpg</t>
  </si>
  <si>
    <t>M.S. COMPANY, INC.</t>
  </si>
  <si>
    <t xml:space="preserve">14KY 1MM THIN WALL TUBING </t>
  </si>
  <si>
    <t>14Y1.0TNRTU</t>
  </si>
  <si>
    <t>S/S 20MM ROUND THICK WALL TUBING</t>
  </si>
  <si>
    <t>SS20TKRTU</t>
  </si>
  <si>
    <t>51012WRH</t>
  </si>
  <si>
    <t>SS20TKRTU.jpg</t>
  </si>
  <si>
    <t>S/S 25MM ROUND THICK WALL TUBING</t>
  </si>
  <si>
    <t>SS25TKRTU</t>
  </si>
  <si>
    <t>WMNMFHRU</t>
  </si>
  <si>
    <t xml:space="preserve">S/S 2MM SQUARE THIN WALL TUBING </t>
  </si>
  <si>
    <t>SS2TNSTU</t>
  </si>
  <si>
    <t>E4FQ9QEK</t>
  </si>
  <si>
    <t>SS2TNSTU.jpg</t>
  </si>
  <si>
    <t xml:space="preserve">18KY .050 ROUND THIN WALL TUBING </t>
  </si>
  <si>
    <t>18Y050TNRTU</t>
  </si>
  <si>
    <t>2T9F9E0J</t>
  </si>
  <si>
    <t>18KY .080 ROUND THIN WALL TUBING (.010)</t>
  </si>
  <si>
    <t>18Y080TNRTU</t>
  </si>
  <si>
    <t>ZPK7X3AY</t>
  </si>
  <si>
    <t>18Y080TKRTU_170109-182143_170206-144531_170206-144635_180622-145342_190503-182406_200617-172633.jpg</t>
  </si>
  <si>
    <t xml:space="preserve">18KY .100 ROUND THIN WALL TUBING </t>
  </si>
  <si>
    <t>18Y100TNRTU</t>
  </si>
  <si>
    <t>W78UU8P9</t>
  </si>
  <si>
    <t>18KY .110 ROUND THIN WALL TUBING</t>
  </si>
  <si>
    <t>18Y110TNRTU</t>
  </si>
  <si>
    <t>A9XDXEVH</t>
  </si>
  <si>
    <t>18Y110TNTU.jpg</t>
  </si>
  <si>
    <t>18KY .160 ROUND WALL TUBING</t>
  </si>
  <si>
    <t>18Y160TNRTU</t>
  </si>
  <si>
    <t>DQQ8FMHH</t>
  </si>
  <si>
    <t xml:space="preserve">18KY 4.5MM ROUND THIN WALL TUBING </t>
  </si>
  <si>
    <t>18Y4.5TNRTU</t>
  </si>
  <si>
    <t>DMDPQJH3</t>
  </si>
  <si>
    <t>18Y4.5TNRTU.jpg</t>
  </si>
  <si>
    <t>PLATINUM 5.5MM ROUND HEAVY WALL TUBING (.025)</t>
  </si>
  <si>
    <t>PT5.5HRTU</t>
  </si>
  <si>
    <t>C62RLQN0</t>
  </si>
  <si>
    <t>PT5.5HRTU.jpg</t>
  </si>
  <si>
    <t>S/S ROUND COILED TUBING</t>
  </si>
  <si>
    <t>SS7CTNMTU</t>
  </si>
  <si>
    <t>LCL797K3</t>
  </si>
  <si>
    <t>SS7CTNMTU.jpg</t>
  </si>
  <si>
    <t>18KY RD TUBING 3.25MMX020 HEAVY WALL</t>
  </si>
  <si>
    <t>18Y3.25TKRTU</t>
  </si>
  <si>
    <t>0HFAEK9K</t>
  </si>
  <si>
    <t>18KY .250 ROUND THIN WALL TUBING</t>
  </si>
  <si>
    <t>18Y250TNRTU</t>
  </si>
  <si>
    <t>L4T0M5AN</t>
  </si>
  <si>
    <t>PLATINUM 4MM ROUND THIN WALL TUBING</t>
  </si>
  <si>
    <t>PT4TNRTU</t>
  </si>
  <si>
    <t>0ZF39APZ</t>
  </si>
  <si>
    <t>PT4.0TU.jpg</t>
  </si>
  <si>
    <t xml:space="preserve">S/S 3MM SQUARE THIN WALL TUBING </t>
  </si>
  <si>
    <t>SS3TNSTU</t>
  </si>
  <si>
    <t>9Y6VN4C1</t>
  </si>
  <si>
    <t>SS3TNSTU.jpg</t>
  </si>
  <si>
    <t xml:space="preserve">S/S S/S 4MM SQUARE THIN WALL TUBING </t>
  </si>
  <si>
    <t>SS4TNSTU</t>
  </si>
  <si>
    <t>TRARV104</t>
  </si>
  <si>
    <t>SS4TNSTU.jpg</t>
  </si>
  <si>
    <t xml:space="preserve">S/S 5MM SQUARE THIN WALL TUBING </t>
  </si>
  <si>
    <t>SS5TNSTU</t>
  </si>
  <si>
    <t>NZ3DNWJV</t>
  </si>
  <si>
    <t>S/S TUBING RD HOLLOW</t>
  </si>
  <si>
    <t>SS5TWTU</t>
  </si>
  <si>
    <t>8XJ20WTC</t>
  </si>
  <si>
    <t>14KY .080 ROUND THICK WALL TUBING</t>
  </si>
  <si>
    <t>14Y080TKRTU</t>
  </si>
  <si>
    <t>W7JK9VPY</t>
  </si>
  <si>
    <t xml:space="preserve">18KW PALLADIUM 3MM ROUND THIN WALL TUBING </t>
  </si>
  <si>
    <t>18WP3TNRTU</t>
  </si>
  <si>
    <t>1JY05LR1</t>
  </si>
  <si>
    <t>18WP3TNRTU.jpg</t>
  </si>
  <si>
    <t xml:space="preserve">18KY ROUND LIGHT WALL TUBING </t>
  </si>
  <si>
    <t>18Y2TNTU</t>
  </si>
  <si>
    <t>Q24HQEF0</t>
  </si>
  <si>
    <t>18KY 5MM ROUND MEDIUM WALL TUBING (.015)</t>
  </si>
  <si>
    <t>18Y5MRTU</t>
  </si>
  <si>
    <t>87QZR4XZ</t>
  </si>
  <si>
    <t>18Y080TKRTU_161223-144100_161223-144416_211005-182225.jpg</t>
  </si>
  <si>
    <t>LDC INC.</t>
  </si>
  <si>
    <t xml:space="preserve">18KY 3.5MM ROUND TUBING THICK .020 WALL </t>
  </si>
  <si>
    <t>18Y3.5TKRTU</t>
  </si>
  <si>
    <t>AW1J4VMT</t>
  </si>
  <si>
    <t xml:space="preserve">S/S 6MM SQUARE THIN WALL TUBING </t>
  </si>
  <si>
    <t>SS6TNSTU</t>
  </si>
  <si>
    <t>65Y9LEMP</t>
  </si>
  <si>
    <t xml:space="preserve">S/S 8MM SQUARE THIN WALL TUBING </t>
  </si>
  <si>
    <t>SS8TNSTU</t>
  </si>
  <si>
    <t>TH5E9DC2</t>
  </si>
  <si>
    <t>SS6TKSTU_220525-132600.jpg</t>
  </si>
  <si>
    <t>S/S 3MM SQUARE THICK WALL TUBING</t>
  </si>
  <si>
    <t>SS3TKSTU</t>
  </si>
  <si>
    <t>6284YQ61</t>
  </si>
  <si>
    <t>S/S 2.5MM SQUARE THICK WALL TUBING</t>
  </si>
  <si>
    <t>SS2.5TKSTU</t>
  </si>
  <si>
    <t>7YH2UEA3</t>
  </si>
  <si>
    <t>S/S 4MM SQUARE THICK WALL TUBING</t>
  </si>
  <si>
    <t>SS4TKSTU</t>
  </si>
  <si>
    <t>FEULEZ6J</t>
  </si>
  <si>
    <t>SS4TKSTU.jpg</t>
  </si>
  <si>
    <t>S/S 5MM SQUARE THICK WALL TUBING</t>
  </si>
  <si>
    <t>SS5TKSTU</t>
  </si>
  <si>
    <t>4J77JQN8</t>
  </si>
  <si>
    <t>SS5TKSTU_181204-163103_200108-194055.jpg</t>
  </si>
  <si>
    <t>S/S 8MM SQUARE THICK WALL TUBING</t>
  </si>
  <si>
    <t>SS8TKSTU</t>
  </si>
  <si>
    <t>9J011AZK</t>
  </si>
  <si>
    <t>SS6TKSTU_190315-143928.jpg</t>
  </si>
  <si>
    <t>S/S 16MM SQUARE THICK WALL TUBING</t>
  </si>
  <si>
    <t>SS16TKSTU</t>
  </si>
  <si>
    <t>L00RT7QL</t>
  </si>
  <si>
    <t>S/S 5MM (7/8" O.D X 1/2" I.D )COILED ROUND TUBING</t>
  </si>
  <si>
    <t>SS1CTTU</t>
  </si>
  <si>
    <t>ZZPAH0EX</t>
  </si>
  <si>
    <t>SS1CTTU_170531-202105.jpg</t>
  </si>
  <si>
    <t>S/S 5MM (1" O.D X 5/8" I.D )COILED ROUND TUBING</t>
  </si>
  <si>
    <t>SS2CTTU</t>
  </si>
  <si>
    <t>ALZ4Z910</t>
  </si>
  <si>
    <t>SS2CTTU.jpg</t>
  </si>
  <si>
    <t>S/S 5MM (1 1/4" O.D X 3/4" I.D )COILED ROUND TUBING</t>
  </si>
  <si>
    <t>SS2.5CTTU</t>
  </si>
  <si>
    <t>36959Q8N</t>
  </si>
  <si>
    <t>SS2.5CTTU.jpg</t>
  </si>
  <si>
    <t>S/S 5MM (1 1/2" O.D X 1 1/8" I.D )COILED ROUND TUBING</t>
  </si>
  <si>
    <t>SS3CTTU</t>
  </si>
  <si>
    <t>JFDZ4AFD</t>
  </si>
  <si>
    <t>SS3CTTU.jpg</t>
  </si>
  <si>
    <t>S/S 5MM (1 3/4" O.D X 1 3/8" I.D )COILED ROUND TUBING</t>
  </si>
  <si>
    <t>SS3.5CTTU</t>
  </si>
  <si>
    <t>8N43LZ3K</t>
  </si>
  <si>
    <t>SS3.5CTTU_170829-190101.jpg</t>
  </si>
  <si>
    <t>S/S 6MM (2 3/4"O.D X 2 1/4" I.D) ROUND COILED TUBING</t>
  </si>
  <si>
    <t>SS4CTSTU</t>
  </si>
  <si>
    <t>W0MR8QT8</t>
  </si>
  <si>
    <t>SS4CTSTU_160902-173436_171211-155315.jpg</t>
  </si>
  <si>
    <t>S/S 6MM (3" O.D X 2 1/2" I.D) COILED ROUND TUBING</t>
  </si>
  <si>
    <t>SS4CTMTU</t>
  </si>
  <si>
    <t>S/S 6MM (3 1/4" O.D X 2 5/8" ID ) COILED ROUND TUBING</t>
  </si>
  <si>
    <t>SS4CTLTU</t>
  </si>
  <si>
    <t>EX3HZD5T</t>
  </si>
  <si>
    <t>SS4CTLTU_181127-151150.jpg</t>
  </si>
  <si>
    <t>S/S 19MM SQUARE THICK WALL TUBING</t>
  </si>
  <si>
    <t>SS19TKSTU</t>
  </si>
  <si>
    <t>E075PALE</t>
  </si>
  <si>
    <t>S/S 9MM (3" ID X 2 1/4" OD )COILED ROUND TUBING</t>
  </si>
  <si>
    <t>SS5CTSTU</t>
  </si>
  <si>
    <t>R2YUN50V</t>
  </si>
  <si>
    <t>SS5CTSTU.jpg</t>
  </si>
  <si>
    <t>18KY 3MM ROUND THIN WALL TUBING .010</t>
  </si>
  <si>
    <t>18Y3TNRTU</t>
  </si>
  <si>
    <t>MUDTMQL8</t>
  </si>
  <si>
    <t>18Y060TKTU.jpg</t>
  </si>
  <si>
    <t>S/S 9MM (3 1/4" ID X 2 1/2" OD )COILED ROUND TUBING</t>
  </si>
  <si>
    <t>SS5CTMTU</t>
  </si>
  <si>
    <t>TH50ZCK5</t>
  </si>
  <si>
    <t>SS5CTMTU.jpg</t>
  </si>
  <si>
    <t>18KY .180 ROUND THIN WALL TUBING</t>
  </si>
  <si>
    <t>18Y180TNRTU</t>
  </si>
  <si>
    <t>WZ1FT8ZA</t>
  </si>
  <si>
    <t>S/S 9MM (3 1/2" ID X 2 5/8" OD )COILED ROUND TUBING</t>
  </si>
  <si>
    <t>SS5CTLTU</t>
  </si>
  <si>
    <t>64LU7E76</t>
  </si>
  <si>
    <t>SS5CTLTU.jpg</t>
  </si>
  <si>
    <t>S/S .110 ROUND TUBING .016 WALL</t>
  </si>
  <si>
    <t>SS110RTU</t>
  </si>
  <si>
    <t>KFZ9ACNH</t>
  </si>
  <si>
    <t>S/S 9MM COILED ROUND TUBING</t>
  </si>
  <si>
    <t>SS7CTNSTU</t>
  </si>
  <si>
    <t>YKAYLPKA</t>
  </si>
  <si>
    <t>SS7CTNSTU.jpg</t>
  </si>
  <si>
    <t>18KY 3.25MM X .015" ROUND MEDIUM WALL TUBING</t>
  </si>
  <si>
    <t>18Y3.25MRTU</t>
  </si>
  <si>
    <t>VN4APLJ2</t>
  </si>
  <si>
    <t xml:space="preserve">18KY .090 ROUND THIN WALL TUBING </t>
  </si>
  <si>
    <t>18Y090TNRTU</t>
  </si>
  <si>
    <t>JE2MTMN6</t>
  </si>
  <si>
    <t>18Y090TNTU.jpg</t>
  </si>
  <si>
    <t>S/S 12MM (5 1/2" ID X 5" OD )COILED ROUND TUBING</t>
  </si>
  <si>
    <t>SS7CTNLTU</t>
  </si>
  <si>
    <t>666YJYCZ</t>
  </si>
  <si>
    <t>SS7CTNLTU.jpg</t>
  </si>
  <si>
    <t xml:space="preserve">S/S 2MM SQUARE COILED TUBING </t>
  </si>
  <si>
    <t>SS2SQCTTU</t>
  </si>
  <si>
    <t>3YJA7QXD</t>
  </si>
  <si>
    <t>SS2SQCTTU.jpg</t>
  </si>
  <si>
    <t>14KP .065 ROUND THICK WALL TUBING</t>
  </si>
  <si>
    <t>14P065TKRTU</t>
  </si>
  <si>
    <t>1XY4TQ1W</t>
  </si>
  <si>
    <t xml:space="preserve">S/S 2.5MM SQUARE COILED TUBING </t>
  </si>
  <si>
    <t>SS2.5SQCTTU</t>
  </si>
  <si>
    <t>7PR0YWZ3</t>
  </si>
  <si>
    <t>SS2.5SQCTTU.jpg</t>
  </si>
  <si>
    <t xml:space="preserve">S/S 3MM SQUARE COILED TUBING </t>
  </si>
  <si>
    <t>SS3SQCTTU</t>
  </si>
  <si>
    <t>0YZXWYZ8</t>
  </si>
  <si>
    <t>SS3SQCTTU_170712-191215.jpg</t>
  </si>
  <si>
    <t xml:space="preserve">S/S 6MM ROUND COILED TUBING </t>
  </si>
  <si>
    <t>SS6CTNSTU</t>
  </si>
  <si>
    <t>9Z4CNYA9</t>
  </si>
  <si>
    <t>S/S  TUBING RD HOLLOW</t>
  </si>
  <si>
    <t>SS10TWTU</t>
  </si>
  <si>
    <t>PDYT1MNT</t>
  </si>
  <si>
    <t>14KW 4MM ROUND MEDIUM WALL TUBING (.015)</t>
  </si>
  <si>
    <t>14W4MRTU</t>
  </si>
  <si>
    <t>81V0YH7H</t>
  </si>
  <si>
    <t>18Y080TKRTU_161223-144100_161223-144416_170504-180518_170504-180655_170517-195456.jpg</t>
  </si>
  <si>
    <t>18KY HEAVY WALL 3MM TUBING</t>
  </si>
  <si>
    <t>18Y3MMTKTU</t>
  </si>
  <si>
    <t>96ML1CFP</t>
  </si>
  <si>
    <t>18KP 1.5MM ROUND THIN WALL TUBING</t>
  </si>
  <si>
    <t>18P1.5TNRTU</t>
  </si>
  <si>
    <t>A7DTEYQ4</t>
  </si>
  <si>
    <t>18P1.5TNRTU.jpg</t>
  </si>
  <si>
    <t>664V4W1C</t>
  </si>
  <si>
    <t>18KY .080 ROUND THICK WALL TUBING (.020)</t>
  </si>
  <si>
    <t>18Y080TKRTU</t>
  </si>
  <si>
    <t>CC6WYWKA</t>
  </si>
  <si>
    <t>18Y080TKRTU_170109-182143_170206-144356_190503-180702_190820-145157_200617-165344_210329-132309.jpg</t>
  </si>
  <si>
    <t>14KP .160 ROUND THIN WALL TUBING</t>
  </si>
  <si>
    <t>14P160TNRTU</t>
  </si>
  <si>
    <t>L5D6FKLR</t>
  </si>
  <si>
    <t>14P160TNRTU.jpg</t>
  </si>
  <si>
    <t>Z7VMWQZV</t>
  </si>
  <si>
    <t>14Y050TNTU_191204-143308_210504-182805.jpg</t>
  </si>
  <si>
    <t xml:space="preserve">18KY .050 ROUND THICK WALL TUBING </t>
  </si>
  <si>
    <t>18Y050TKRTU</t>
  </si>
  <si>
    <t>1YQ63X8C</t>
  </si>
  <si>
    <t xml:space="preserve">18KW PALLADIUM 3MM ROUND MEDIUM WALL TUBING </t>
  </si>
  <si>
    <t>18WP3MRTU</t>
  </si>
  <si>
    <t>03UYUNU8</t>
  </si>
  <si>
    <t>18WP3MRTU.jpg</t>
  </si>
  <si>
    <t>14KY .200 STRAIGHT TUBING</t>
  </si>
  <si>
    <t>IM-14Y200THTU</t>
  </si>
  <si>
    <t>P3TVFEQV</t>
  </si>
  <si>
    <t>IM-14Y200THTU.jpg</t>
  </si>
  <si>
    <t>S/S 5MM X 2.25ID COILED TUBING</t>
  </si>
  <si>
    <t>SS5X2.25CT</t>
  </si>
  <si>
    <t>DLP83DNX</t>
  </si>
  <si>
    <t xml:space="preserve">18KY .060 ROUND THICK WALL TUBING </t>
  </si>
  <si>
    <t>18Y060TKRTU</t>
  </si>
  <si>
    <t>T44WWNXE</t>
  </si>
  <si>
    <t>18KY .120 ROUND THICK WALL TUBING</t>
  </si>
  <si>
    <t>18Y120TKSTU</t>
  </si>
  <si>
    <t>FYN6YX98</t>
  </si>
  <si>
    <t>14KY 4MM SQUARE LIGHT WALL TUBING (.012)</t>
  </si>
  <si>
    <t>14Y4MSQTU</t>
  </si>
  <si>
    <t>1VDF09TW</t>
  </si>
  <si>
    <t>18Y080TKRTU_170109-180851_170109-181045_170109-182441.jpg</t>
  </si>
  <si>
    <t>14KY 1.1MM ROUND THIN WALL TUBING (.010)</t>
  </si>
  <si>
    <t>14Y1.1TNRTU</t>
  </si>
  <si>
    <t>8RRVU620</t>
  </si>
  <si>
    <t>S/S .100 ROUND TUBING .014 WALL</t>
  </si>
  <si>
    <t>S/S 1.5MM ROUND THICK WALL TUBING</t>
  </si>
  <si>
    <t>SS1.5TKRTU</t>
  </si>
  <si>
    <t>78Q0MYHM</t>
  </si>
  <si>
    <t>S/S 22MM ROUND THICK WALL TUBING</t>
  </si>
  <si>
    <t>SS22TKRTU</t>
  </si>
  <si>
    <t>6ZU8RLQ5</t>
  </si>
  <si>
    <t>18KY .160 SQUARE THICK WALL TUBING</t>
  </si>
  <si>
    <t>18Y160TKSTU</t>
  </si>
  <si>
    <t>8Z3Q9QC6</t>
  </si>
  <si>
    <t>18Y160TKSTU.jpg</t>
  </si>
  <si>
    <t xml:space="preserve">18KP 2MM ROUND TUBING THICK .020 WALL </t>
  </si>
  <si>
    <t>18P2TKRTU</t>
  </si>
  <si>
    <t>PYQKKH21</t>
  </si>
  <si>
    <t>18P080TKRTU.jpg</t>
  </si>
  <si>
    <t>S/S 20MM SQUARE THICK WALL TUBING</t>
  </si>
  <si>
    <t>SS20TKSTU</t>
  </si>
  <si>
    <t>C3XHX2E3</t>
  </si>
  <si>
    <t xml:space="preserve">18KY .125 ROUND THICK WALL TUBING </t>
  </si>
  <si>
    <t>18Y125TKRTU</t>
  </si>
  <si>
    <t>DY63JP4K</t>
  </si>
  <si>
    <t>PLATINUM 2MM ROUND THIN WALL TUBING</t>
  </si>
  <si>
    <t>PT2TNRTU</t>
  </si>
  <si>
    <t>QDCHH5PW</t>
  </si>
  <si>
    <t>PT2.0TU.jpg</t>
  </si>
  <si>
    <t>PLAT .200 ROUND THIN WALL TUBING</t>
  </si>
  <si>
    <t>PT200TNRTU</t>
  </si>
  <si>
    <t>MX22VPZ8</t>
  </si>
  <si>
    <t>PLATINUM 2.5MM ROUND THIN WALL TUBING</t>
  </si>
  <si>
    <t>PT2.5TNRTU</t>
  </si>
  <si>
    <t>M9AZ21C9</t>
  </si>
  <si>
    <t>PT2.5TU.jpg</t>
  </si>
  <si>
    <t>1DLY9WH3</t>
  </si>
  <si>
    <t>SS4CTMTU_160825-093842_171211-155225_230201-165256.jpg</t>
  </si>
  <si>
    <t>PLATINYM 3.5MM ROUND HEAVY WALL TUBING (.020)</t>
  </si>
  <si>
    <t>14KY .090 ROUND THIN WALL TUBING</t>
  </si>
  <si>
    <t>14Y090TNRTU</t>
  </si>
  <si>
    <t>AMQC7LHF</t>
  </si>
  <si>
    <t>18KY .025 SOFT ROUND WIRE</t>
  </si>
  <si>
    <t>18Y025RSW</t>
  </si>
  <si>
    <t>WIRE</t>
  </si>
  <si>
    <t>18Y030RSW</t>
  </si>
  <si>
    <t>18KY .035 SOFT ROUND WIRE</t>
  </si>
  <si>
    <t>18Y035RSW</t>
  </si>
  <si>
    <t>88NLTA9W</t>
  </si>
  <si>
    <t>18Y035RSW_161031-144424_181002-132120_190819-134144_241223-154112.jpg,18Y035RSW_161031-144424_181002-132120_190819-134144_241223-154132.jpg</t>
  </si>
  <si>
    <t>18Y040RSW</t>
  </si>
  <si>
    <t>18Y050RSW</t>
  </si>
  <si>
    <t>18Y060RSW</t>
  </si>
  <si>
    <t>18Y080RSW</t>
  </si>
  <si>
    <t>18Y100RSW</t>
  </si>
  <si>
    <t>18Y125RSW</t>
  </si>
  <si>
    <t>18Y160RSW</t>
  </si>
  <si>
    <t>18KW .015 SOFT ROUND WIRE</t>
  </si>
  <si>
    <t>18W015RSW</t>
  </si>
  <si>
    <t>E506X6H6</t>
  </si>
  <si>
    <t>18W015RSW.jpg</t>
  </si>
  <si>
    <t>18KW .020 WHITE RD WIRE</t>
  </si>
  <si>
    <t>18W020RSW</t>
  </si>
  <si>
    <t>1VTDJJJF</t>
  </si>
  <si>
    <t>18W020RSW_190222-161743.jpg</t>
  </si>
  <si>
    <t>18KW .025 SOFT ROUND WIRE</t>
  </si>
  <si>
    <t>18W025RSW</t>
  </si>
  <si>
    <t>793KVQ5H</t>
  </si>
  <si>
    <t>18W025RSW_241204-144021.jpg</t>
  </si>
  <si>
    <t>18KW .030 WHITE RD WIRE</t>
  </si>
  <si>
    <t>18W030RSW</t>
  </si>
  <si>
    <t>8AMH8ME5</t>
  </si>
  <si>
    <t>18W030RSW.jpg</t>
  </si>
  <si>
    <t>18KW .035 SOFT ROUND WIRE</t>
  </si>
  <si>
    <t>18W035RSW</t>
  </si>
  <si>
    <t>5801KZXJ</t>
  </si>
  <si>
    <t>18W035RSW.jpg</t>
  </si>
  <si>
    <t>18WP040RSW</t>
  </si>
  <si>
    <t>18KW .050 SOFT ROUND WIRE</t>
  </si>
  <si>
    <t>18W050RSW</t>
  </si>
  <si>
    <t>18KW .060 SOFT ROUND WIRE</t>
  </si>
  <si>
    <t>18W060RSW</t>
  </si>
  <si>
    <t>18KW .080 SOFT ROUND WIRE</t>
  </si>
  <si>
    <t>18W080RSW</t>
  </si>
  <si>
    <t>18KW .100 SOFT ROUND WIRE</t>
  </si>
  <si>
    <t>18W100RSW</t>
  </si>
  <si>
    <t>18KW .125 SOFT ROUND WIRE</t>
  </si>
  <si>
    <t>18W125RSW</t>
  </si>
  <si>
    <t>18Y1.5HRW</t>
  </si>
  <si>
    <t>18Y2.0HRW</t>
  </si>
  <si>
    <t>18KY 2.5MM HALF-ROUND WIRE</t>
  </si>
  <si>
    <t>18Y2.5HRW</t>
  </si>
  <si>
    <t>18KY 3.0MM HALF-ROUND WIRE</t>
  </si>
  <si>
    <t>18Y3.0HRW</t>
  </si>
  <si>
    <t>39PHNHLY</t>
  </si>
  <si>
    <t>18Y3.0HRW_161220-145457.jpg</t>
  </si>
  <si>
    <t>18KY 5.0MM HALF-ROUND WIRE</t>
  </si>
  <si>
    <t>18Y5.0HRW</t>
  </si>
  <si>
    <t>UV0XQAM6</t>
  </si>
  <si>
    <t>18Y5.0HRW.jpg</t>
  </si>
  <si>
    <t>18KW 1.5MM HALF-ROUND WIRE</t>
  </si>
  <si>
    <t>18W1.5HRW</t>
  </si>
  <si>
    <t>4E0WC3J4</t>
  </si>
  <si>
    <t>18W1.5HRW.jpg</t>
  </si>
  <si>
    <t>18KW 2MM X 1MM HALF-ROUND WIRE</t>
  </si>
  <si>
    <t>18W2HRW</t>
  </si>
  <si>
    <t>NJ4AJEXT</t>
  </si>
  <si>
    <t>18W2.0HRW.jpg</t>
  </si>
  <si>
    <t>18KW 2.5MM HALF-ROUND WIRE</t>
  </si>
  <si>
    <t>18W2.5HRW</t>
  </si>
  <si>
    <t>18KW 4X2MM HALF-ROUND WIRE</t>
  </si>
  <si>
    <t>18W4.0HRW</t>
  </si>
  <si>
    <t>7FU819DZ</t>
  </si>
  <si>
    <t>18W4.0HRW_170616-133001.jpg</t>
  </si>
  <si>
    <t>18KW 5.0MM HALF-ROUND WIRE</t>
  </si>
  <si>
    <t>18W5.0HRW</t>
  </si>
  <si>
    <t>L68RM018</t>
  </si>
  <si>
    <t>18W5.0HRW.jpg</t>
  </si>
  <si>
    <t>14KY 1/8 X .010 FLAT BEZEL WIRE .100 X .125-#A0479</t>
  </si>
  <si>
    <t>14Y1/8BW</t>
  </si>
  <si>
    <t>15PJFANE</t>
  </si>
  <si>
    <t>SS1-4-125FW_220527-142748.jpg,SS1-4-125FW_171027-174252_190923-195701_220527-142848.jpg</t>
  </si>
  <si>
    <t>14KY 1/4 BEZEL WIRE</t>
  </si>
  <si>
    <t>14Y1/4BW</t>
  </si>
  <si>
    <t>20X8RALA</t>
  </si>
  <si>
    <t>SS1-4-125FW_190923-195523.jpg</t>
  </si>
  <si>
    <t>22KY .015 SOFT ROUND WIRE</t>
  </si>
  <si>
    <t>22Y015RSW</t>
  </si>
  <si>
    <t>22Y020RSW</t>
  </si>
  <si>
    <t>22Y025RSW</t>
  </si>
  <si>
    <t>22KY .030 SOFT ROUND WIRE</t>
  </si>
  <si>
    <t>22Y030RSW</t>
  </si>
  <si>
    <t>22Y035RSW</t>
  </si>
  <si>
    <t>22Y040RSW</t>
  </si>
  <si>
    <t>22KY .050 SOFT ROUND WIRE</t>
  </si>
  <si>
    <t>22Y050RSW</t>
  </si>
  <si>
    <t>22KY .060 SOFT ROUND WIRE</t>
  </si>
  <si>
    <t>22Y060RSW</t>
  </si>
  <si>
    <t>22KY .080 SOFT ROUND WIRE</t>
  </si>
  <si>
    <t>22Y080RSW</t>
  </si>
  <si>
    <t>22KY .100 SOFT ROUND WIRE</t>
  </si>
  <si>
    <t>22Y100RSW</t>
  </si>
  <si>
    <t>22Y125RSW</t>
  </si>
  <si>
    <t>22KY .160 SOFT ROUND WIRE</t>
  </si>
  <si>
    <t>22Y160RSW</t>
  </si>
  <si>
    <t>YE63CL34</t>
  </si>
  <si>
    <t>22Y160RSW.jpg</t>
  </si>
  <si>
    <t>PLATINUM .015 ROUND WIRE</t>
  </si>
  <si>
    <t>PT015RSW</t>
  </si>
  <si>
    <t>EWX9PNUW</t>
  </si>
  <si>
    <t>18Y015RHW_180504-150406.jpg</t>
  </si>
  <si>
    <t>PLATINUM .020 SOFT ROUND WIRE</t>
  </si>
  <si>
    <t>PT020RSW</t>
  </si>
  <si>
    <t>PLATINUM .025 SOFT ROUND WIRE</t>
  </si>
  <si>
    <t>PT025RSW</t>
  </si>
  <si>
    <t>18Y015RHW.jpg</t>
  </si>
  <si>
    <t>PLATINUM .030 SOFT ROUND WIRE</t>
  </si>
  <si>
    <t>PT030RSW</t>
  </si>
  <si>
    <t>PT050RSW</t>
  </si>
  <si>
    <t>PT060RSW</t>
  </si>
  <si>
    <t>PLATINUM .100 SOFT ROUND WIRE</t>
  </si>
  <si>
    <t>PT100RSW</t>
  </si>
  <si>
    <t>1D1QZ9ZR</t>
  </si>
  <si>
    <t>PT100RSW_180220-142742_181210-144640_191024-172526_240820-133801.jpg</t>
  </si>
  <si>
    <t>PLATINUM .160 SOFT ROUND WIRE</t>
  </si>
  <si>
    <t>PT160RSW</t>
  </si>
  <si>
    <t>1NQHHXRL</t>
  </si>
  <si>
    <t>PT160RSW_160719-135047.jpg</t>
  </si>
  <si>
    <t>14KY .020 PINTONG WIRE 
STRESS RELIEF ANNEAL</t>
  </si>
  <si>
    <t>14Y020PTW</t>
  </si>
  <si>
    <t>14KY .025 PINTONG WIRE 12"
SPRING HARD SLIGHTY STRESS RELIEF.</t>
  </si>
  <si>
    <t>14Y025PTW</t>
  </si>
  <si>
    <t>14KY .030 PINTONG WIRE .
SPRING HARD SLIGHTY STRESS RELIEF.</t>
  </si>
  <si>
    <t>14Y030PTW</t>
  </si>
  <si>
    <t>14KY .035 PINTONG WIRE</t>
  </si>
  <si>
    <t>14Y035PTW</t>
  </si>
  <si>
    <t>14KY .040 PINTONG WIRE</t>
  </si>
  <si>
    <t>14Y040PTW</t>
  </si>
  <si>
    <t>14KY .045 PINTONG WIRE</t>
  </si>
  <si>
    <t>14Y045PTW</t>
  </si>
  <si>
    <t>ZMTWTT1N</t>
  </si>
  <si>
    <t>14Y045PTW.jpg</t>
  </si>
  <si>
    <t xml:space="preserve">14KY .050 PINTONG WIRE </t>
  </si>
  <si>
    <t>14Y050PTW</t>
  </si>
  <si>
    <t>AM34N4HW</t>
  </si>
  <si>
    <t>14Y050PTW_161014-200854.jpg</t>
  </si>
  <si>
    <t xml:space="preserve">14KY .060 PINTONG WIRE </t>
  </si>
  <si>
    <t>14Y060PTW</t>
  </si>
  <si>
    <t>T78JRUCY</t>
  </si>
  <si>
    <t>14Y060PTW_170320-144323_170320-145604_171207-153247_180212-202741_190819-145016.jpg</t>
  </si>
  <si>
    <t xml:space="preserve">14KY .080 PINTONG WIRE </t>
  </si>
  <si>
    <t>14Y080PTW</t>
  </si>
  <si>
    <t>T8AYY83F</t>
  </si>
  <si>
    <t>14Y080PTW_170320-145448.jpg</t>
  </si>
  <si>
    <t>14KW .020 PINTONG WIRE</t>
  </si>
  <si>
    <t>14W020PTW</t>
  </si>
  <si>
    <t>CU45EM7J</t>
  </si>
  <si>
    <t>14W020PTW.jpg</t>
  </si>
  <si>
    <t xml:space="preserve">14KW .025 PINTONG WIRE </t>
  </si>
  <si>
    <t>14W025PTW</t>
  </si>
  <si>
    <t xml:space="preserve">14KW .030 PINTONG WIRE </t>
  </si>
  <si>
    <t>14W030PTW</t>
  </si>
  <si>
    <t>14KW .035 PINTONG WIRE</t>
  </si>
  <si>
    <t>14W035PTW</t>
  </si>
  <si>
    <t>ACQ07RTW</t>
  </si>
  <si>
    <t>14W035PTW_190711-140047.jpg</t>
  </si>
  <si>
    <t>14KW .040 PINTONG WIRE</t>
  </si>
  <si>
    <t>14W040PTW</t>
  </si>
  <si>
    <t>34M10FQ2</t>
  </si>
  <si>
    <t>14W040PTW_180220-194535_201014-150126.jpg</t>
  </si>
  <si>
    <t xml:space="preserve">14KW .045 PINTONG WIRE </t>
  </si>
  <si>
    <t>14W045PTW</t>
  </si>
  <si>
    <t>YP52JX0A</t>
  </si>
  <si>
    <t>14W045PTW.jpg</t>
  </si>
  <si>
    <t xml:space="preserve">14KW .050 PINTONG WIRE </t>
  </si>
  <si>
    <t>14W050PTW</t>
  </si>
  <si>
    <t>7RPW6TEQ</t>
  </si>
  <si>
    <t>18KY .020 PINTONG WIRE</t>
  </si>
  <si>
    <t>18Y020PTW</t>
  </si>
  <si>
    <t>E5F60CZP</t>
  </si>
  <si>
    <t>18Y020PTW.jpg</t>
  </si>
  <si>
    <t>18KY .030 PINTONG WIRE</t>
  </si>
  <si>
    <t>18Y030PTW</t>
  </si>
  <si>
    <t>18KY .035 PINTONG WIRE</t>
  </si>
  <si>
    <t>18Y035PTW</t>
  </si>
  <si>
    <t>NDN1Y9M3</t>
  </si>
  <si>
    <t>18Y035PTW_221103-155722.jpg</t>
  </si>
  <si>
    <t>18KY .040 PINTONG WIRE</t>
  </si>
  <si>
    <t>18Y040PTW</t>
  </si>
  <si>
    <t>18KY .050 PINTONG WIRE</t>
  </si>
  <si>
    <t>18Y050PTW</t>
  </si>
  <si>
    <t>UXARFQ3A</t>
  </si>
  <si>
    <t>18Y050PTW.jpg</t>
  </si>
  <si>
    <t>18KY.060 PINTONG WIRE</t>
  </si>
  <si>
    <t>18Y060PTW</t>
  </si>
  <si>
    <t>HXXQ0NTK</t>
  </si>
  <si>
    <t>18Y060PTW.jpg</t>
  </si>
  <si>
    <t>18KY .080 PINTONG WIRE</t>
  </si>
  <si>
    <t>18Y080PTW</t>
  </si>
  <si>
    <t>YZ4JA42D</t>
  </si>
  <si>
    <t>18Y080PTW_170320-144206.jpg</t>
  </si>
  <si>
    <t>18KW .025 PINTONG WIRE</t>
  </si>
  <si>
    <t>18W025PTW</t>
  </si>
  <si>
    <t>E1KUL8TW</t>
  </si>
  <si>
    <t>18W025PTW.jpg</t>
  </si>
  <si>
    <t>18KW .030 PINTONG WIRE</t>
  </si>
  <si>
    <t>18W030PTW</t>
  </si>
  <si>
    <t>Z02N4J6D</t>
  </si>
  <si>
    <t>18W030PTW.jpg</t>
  </si>
  <si>
    <t>18KW .035 PINTONG WIRE</t>
  </si>
  <si>
    <t>18W035PTW</t>
  </si>
  <si>
    <t>18KW .040 PINTONG WIRE</t>
  </si>
  <si>
    <t>18W040PTW</t>
  </si>
  <si>
    <t>E9J0ZETA</t>
  </si>
  <si>
    <t>18W040PTW_180220-192941.jpg</t>
  </si>
  <si>
    <t>18KW .045 PINTONG WIRE</t>
  </si>
  <si>
    <t>18W045PTW</t>
  </si>
  <si>
    <t>RF5298MZ</t>
  </si>
  <si>
    <t>18W045PTW.jpg</t>
  </si>
  <si>
    <t>18KW .050 PINTONG WIRE</t>
  </si>
  <si>
    <t>18W050PTW</t>
  </si>
  <si>
    <t>14KP 3MM X 1MM FLAT WIRE</t>
  </si>
  <si>
    <t>14P3X1FW</t>
  </si>
  <si>
    <t>KTPEUYX5</t>
  </si>
  <si>
    <t>14W2.0FW.jpg</t>
  </si>
  <si>
    <t>RASHBEL INDUSTRIES LTD</t>
  </si>
  <si>
    <t>S/S 1.5MM OVAL BEADED WIRE</t>
  </si>
  <si>
    <t>SS1.5OVBDW</t>
  </si>
  <si>
    <t>1607Q3PD</t>
  </si>
  <si>
    <t xml:space="preserve">10KY .020 SOFT ROUND WIRE                          
</t>
  </si>
  <si>
    <t>10Y020RSW</t>
  </si>
  <si>
    <t>V7V5P7J5</t>
  </si>
  <si>
    <t>10Y020RSW.jpg</t>
  </si>
  <si>
    <t>10KY .025 HARD ROUND WIRE</t>
  </si>
  <si>
    <t>10Y025RHW</t>
  </si>
  <si>
    <t>T2VJAHVY</t>
  </si>
  <si>
    <t>10Y025RHW.jpg</t>
  </si>
  <si>
    <t>10KY .025 SOFT ROUND WIRE</t>
  </si>
  <si>
    <t>10Y025RSW</t>
  </si>
  <si>
    <t>ETL7E0NW</t>
  </si>
  <si>
    <t>10Y025RSW_170516-164246_191030-151657.jpg</t>
  </si>
  <si>
    <t>10KY .030 SOFT ROUND WIRE</t>
  </si>
  <si>
    <t>10Y030RSW</t>
  </si>
  <si>
    <t>10KY .040 HARD ROUND WIRE</t>
  </si>
  <si>
    <t>10Y040RHW</t>
  </si>
  <si>
    <t>V7LKF7ZP</t>
  </si>
  <si>
    <t>10Y040RHW.jpg</t>
  </si>
  <si>
    <t>10KY .040 SOFT ROUND WIRE</t>
  </si>
  <si>
    <t>10Y040RSW</t>
  </si>
  <si>
    <t>10KY .060 SOFT ROUND WIRE</t>
  </si>
  <si>
    <t>10Y060RSW</t>
  </si>
  <si>
    <t>UR0FY736</t>
  </si>
  <si>
    <t>10Y060RSW_171102-150654_181012-141502_190821-150025_220214-160055.jpg</t>
  </si>
  <si>
    <t>10KY .080 SOFT ROUND WIRE</t>
  </si>
  <si>
    <t>10Y080RSW</t>
  </si>
  <si>
    <t>WKJW99RE</t>
  </si>
  <si>
    <t>10Y080RSW_170629-135747.jpg</t>
  </si>
  <si>
    <t>10KY .100 SOFT ROUND WIRE</t>
  </si>
  <si>
    <t>10Y100RSW</t>
  </si>
  <si>
    <t>VHXAZXHD</t>
  </si>
  <si>
    <t>10Y100RSW.jpg</t>
  </si>
  <si>
    <t>10KY .015 SOFT ROUND WIRE</t>
  </si>
  <si>
    <t>10Y015RSW</t>
  </si>
  <si>
    <t>D0N3WTHU</t>
  </si>
  <si>
    <t>10Y015RSW_170417-201233_211207-142400.jpg</t>
  </si>
  <si>
    <t xml:space="preserve">S/S .030 PINTONG WIRE </t>
  </si>
  <si>
    <t>SS030PTW</t>
  </si>
  <si>
    <t>QACX5354</t>
  </si>
  <si>
    <t>SS030PTW_250422-183607.jpg</t>
  </si>
  <si>
    <t>S/S .040 PINTONG WIRE</t>
  </si>
  <si>
    <t>SS040PTW</t>
  </si>
  <si>
    <t>XYQYZT0A</t>
  </si>
  <si>
    <t>SS040PTW_180131-150333_190220-163356_211005-172016.jpg</t>
  </si>
  <si>
    <t>S/S .050 PINTONG WIRE</t>
  </si>
  <si>
    <t>SS050PTW</t>
  </si>
  <si>
    <t>2RCKZ533</t>
  </si>
  <si>
    <t>SS050PTW_190128-154144_190204-144426_190204-150241_211005-172115.jpg</t>
  </si>
  <si>
    <t>G/F .015 ROUND HARD WIRE</t>
  </si>
  <si>
    <t>GF015RHW</t>
  </si>
  <si>
    <t>HMWKFY64</t>
  </si>
  <si>
    <t>GF015RHW_170421-173153_210408-152334_221103-131608.jpg</t>
  </si>
  <si>
    <t>G/F .015 ROUND SOFT WIRE</t>
  </si>
  <si>
    <t>GF015RSW</t>
  </si>
  <si>
    <t>Q3PE52D8</t>
  </si>
  <si>
    <t>GF015RSW_161122-175211_170712-180227_180604-140328_180809-190706_190412-162440_200616-171003_210719-131300_221103-131636_240618-154635.jpg</t>
  </si>
  <si>
    <t>G/F .020 ROUND SOFT WIRE</t>
  </si>
  <si>
    <t>GF020RSW</t>
  </si>
  <si>
    <t>G/F .020 ROUND HARD WIRE</t>
  </si>
  <si>
    <t>GF020RHW</t>
  </si>
  <si>
    <t>G/F .025 ROUND SOFT WIRE</t>
  </si>
  <si>
    <t>GF025RSW</t>
  </si>
  <si>
    <t>A5Q84T2R</t>
  </si>
  <si>
    <t>GF025RSW_170616-134251_190111-143301_200520-144133_221103-131707_230209-152623.jpg</t>
  </si>
  <si>
    <t>G/F .025 ROUND HARD WIRE</t>
  </si>
  <si>
    <t>GF025RHW</t>
  </si>
  <si>
    <t>F01WEE13</t>
  </si>
  <si>
    <t>GF025RHW_170712-175753_180809-184611_190923-194111_200616-163319_240412-164140.jpg</t>
  </si>
  <si>
    <t>G/F .030 ROUND SOFT WIRE</t>
  </si>
  <si>
    <t>GF030RSW</t>
  </si>
  <si>
    <t>G/F .030 ROUND HARD WIRE</t>
  </si>
  <si>
    <t>GF030RHW</t>
  </si>
  <si>
    <t>1270Z07Y</t>
  </si>
  <si>
    <t>GF030RHW_161014-201107_161129-135841_170426-151857_171011-193041_200616-163459_210723-150605_220816-182546_230714-175410_240416-185827_251010-133432.jpg</t>
  </si>
  <si>
    <t>G/F .035 ROUND SOFT WIRE</t>
  </si>
  <si>
    <t>GF035RSW</t>
  </si>
  <si>
    <t>HR6XJ792</t>
  </si>
  <si>
    <t>GF035RSW_210723-151129.jpg</t>
  </si>
  <si>
    <t>G/F .040 ROUND SOFT WIRE</t>
  </si>
  <si>
    <t>GF040RSW</t>
  </si>
  <si>
    <t>83NAVMLJ</t>
  </si>
  <si>
    <t>GF040RSW_170809-143508_170905-135321_190927-140114_230720-191441.jpg</t>
  </si>
  <si>
    <t>G/F .035 ROUND HARD WIRE</t>
  </si>
  <si>
    <t>GF035RHW</t>
  </si>
  <si>
    <t>JUL01LW6</t>
  </si>
  <si>
    <t>GF035RHW_161219-212631_170525-202539_190314-132009_220614-135039.jpg</t>
  </si>
  <si>
    <t>G/F .040 ROUND HARD WIRE #8 HARD</t>
  </si>
  <si>
    <t>GF040RHW</t>
  </si>
  <si>
    <t>412A8L0Y</t>
  </si>
  <si>
    <t>GF040RHW_170424-133507_180604-132125_210129-145132_210929-143744_250423-140734.jpg</t>
  </si>
  <si>
    <t>G/F .050 ROUND SOFT WIRE</t>
  </si>
  <si>
    <t>GF050RSW</t>
  </si>
  <si>
    <t>7MKFRZMA</t>
  </si>
  <si>
    <t>GF050RSW_171120-194229_181017-134831_240409-143242.jpg</t>
  </si>
  <si>
    <t>G/F .050 ROUND HARD WIRE</t>
  </si>
  <si>
    <t>GF050RHW</t>
  </si>
  <si>
    <t>N4JU77T1</t>
  </si>
  <si>
    <t>GF050RHW_170216-153159_201014-145220.jpg</t>
  </si>
  <si>
    <t>G/F .060 ROUND SOFT WIRE</t>
  </si>
  <si>
    <t>GF060RSW</t>
  </si>
  <si>
    <t>N30HYYRH</t>
  </si>
  <si>
    <t>GF060RHW_171024-161409_180207-141452_220527-161648.jpg</t>
  </si>
  <si>
    <t>G/F .060 ROUND HARD WIRE</t>
  </si>
  <si>
    <t>GF060RHW</t>
  </si>
  <si>
    <t>FVXPFH28</t>
  </si>
  <si>
    <t>GF060RHW_180207-152453.jpg</t>
  </si>
  <si>
    <t>G/F .080 ROUND SOFT WIRE</t>
  </si>
  <si>
    <t>GF080RSW</t>
  </si>
  <si>
    <t>R966HXDJ</t>
  </si>
  <si>
    <t>GF080RSW_170323-133553_180131-145509_210723-151235_210809-135031_230906-171723.jpg</t>
  </si>
  <si>
    <t>G/F .080 ROUND HARD WIRE</t>
  </si>
  <si>
    <t>GF080RHW</t>
  </si>
  <si>
    <t>QVQYCAZV</t>
  </si>
  <si>
    <t>GF080RHW.jpg</t>
  </si>
  <si>
    <t>G/F .045 ROUND HARD WIRE</t>
  </si>
  <si>
    <t>GF045RHW</t>
  </si>
  <si>
    <t>T9531R14</t>
  </si>
  <si>
    <t>GF045RHW_170216-153003_190301-185607_220120-185509_220614-135157_241101-135720_241204-150619.jpg</t>
  </si>
  <si>
    <t>14KY .010 SOFT ROUND WIRE</t>
  </si>
  <si>
    <t>14Y010RSW</t>
  </si>
  <si>
    <t xml:space="preserve">14KY .018 HARD ROUND WIRE </t>
  </si>
  <si>
    <t>14Y018RHW</t>
  </si>
  <si>
    <t>9WA6497E</t>
  </si>
  <si>
    <t>14Y018RHW_180626-135525.jpg</t>
  </si>
  <si>
    <t xml:space="preserve">14KY .018 SOFT ROUND WIRE </t>
  </si>
  <si>
    <t>14Y018RSW</t>
  </si>
  <si>
    <t>6F7X7L4X</t>
  </si>
  <si>
    <t>14Y018RSW.jpg</t>
  </si>
  <si>
    <t>14KY .008 SOFT ROUND WIRE</t>
  </si>
  <si>
    <t>14Y008RSW</t>
  </si>
  <si>
    <t>G/F .010 ROUND SOFT WIRE</t>
  </si>
  <si>
    <t>GF010RSW</t>
  </si>
  <si>
    <t>PFNX17RH</t>
  </si>
  <si>
    <t>GF010RSW_180604-140006_200616-171518_251020-125645.jpg</t>
  </si>
  <si>
    <t xml:space="preserve">14KY .012 SOFT ROUND WIRE </t>
  </si>
  <si>
    <t>14Y012RSW</t>
  </si>
  <si>
    <t>84UAA6ZF</t>
  </si>
  <si>
    <t>14Y012RSW_180212-200106_180305-150901_200131-210501_220330-170550.jpg</t>
  </si>
  <si>
    <t>14KW .010 SOFT ROUND WIRE</t>
  </si>
  <si>
    <t>14W010RSW</t>
  </si>
  <si>
    <t>14KW .012 SOFT ROUND WIRE</t>
  </si>
  <si>
    <t>14W012RSW</t>
  </si>
  <si>
    <t>FNAMY1M7</t>
  </si>
  <si>
    <t>14W012RSW.jpg</t>
  </si>
  <si>
    <t>14KP .018 SOFT ROUND WIRE</t>
  </si>
  <si>
    <t>14P018RSW</t>
  </si>
  <si>
    <t>CLLPHKCW</t>
  </si>
  <si>
    <t>14P018RSW.jpg</t>
  </si>
  <si>
    <t>14KP .025 SOFT ROUND WIRE</t>
  </si>
  <si>
    <t>14P025RSW</t>
  </si>
  <si>
    <t>ZUNVL65R</t>
  </si>
  <si>
    <t>14P025RSW_180228-144027.jpg</t>
  </si>
  <si>
    <t>14KG .025 SOFT ROUND WIRE</t>
  </si>
  <si>
    <t>14G025RSW</t>
  </si>
  <si>
    <t>7VK7MFZQ</t>
  </si>
  <si>
    <t>14G025RSW.jpg</t>
  </si>
  <si>
    <t>18KY .010 SOFT ROUND WIRE</t>
  </si>
  <si>
    <t>18Y010RSW</t>
  </si>
  <si>
    <t>EUNTUPX5</t>
  </si>
  <si>
    <t>18Y010RSW_171120-204920_190821-145818_201023-135755_220728-193750_240301-171130_250422-185552.jpg</t>
  </si>
  <si>
    <t>18KY .012 SOFT ROUND WIRE</t>
  </si>
  <si>
    <t>18Y012RSW</t>
  </si>
  <si>
    <t>RFR14F1Y</t>
  </si>
  <si>
    <t>18Y012RSW_191224-175032_201210-193553_210615-174230_210617-133216.jpg</t>
  </si>
  <si>
    <t>18Y018RSW</t>
  </si>
  <si>
    <t>18KW .010 SOFT ROUND WIRE</t>
  </si>
  <si>
    <t>18W010RSW</t>
  </si>
  <si>
    <t>18KP .025 SOFT ROUND WIRE</t>
  </si>
  <si>
    <t>18P025RSW</t>
  </si>
  <si>
    <t>HKA886K5</t>
  </si>
  <si>
    <t>18P025RSW_181126-182700.jpg</t>
  </si>
  <si>
    <t>18KG .010 SOFT ROUND WIRE #38</t>
  </si>
  <si>
    <t>18G010RSW</t>
  </si>
  <si>
    <t>TP4JAYXA</t>
  </si>
  <si>
    <t>18G010RSW.jpg</t>
  </si>
  <si>
    <t>18KG .025 SOFT ROUND WIRE #38</t>
  </si>
  <si>
    <t>18G025RSW</t>
  </si>
  <si>
    <t>6PQJ7FAH</t>
  </si>
  <si>
    <t>18G025RSW_160824-102803.jpg</t>
  </si>
  <si>
    <t>22KY .010 SOFT ROUND WIRE</t>
  </si>
  <si>
    <t>22Y010RSW</t>
  </si>
  <si>
    <t>T75VA0QY</t>
  </si>
  <si>
    <t>22Y010RSW.jpg</t>
  </si>
  <si>
    <t>22KY .012 SOFT ROUND WIRE</t>
  </si>
  <si>
    <t>22Y012RSW</t>
  </si>
  <si>
    <t>04N6FZEV</t>
  </si>
  <si>
    <t>22Y012RSW.jpg</t>
  </si>
  <si>
    <t>14KP .050 SOFT ROUND WIRE</t>
  </si>
  <si>
    <t>14P050RHW</t>
  </si>
  <si>
    <t>7EXLVZJT</t>
  </si>
  <si>
    <t>14P050RSW_161010-133456.jpg</t>
  </si>
  <si>
    <t>18KP .080 SOFT ROUND WIRE</t>
  </si>
  <si>
    <t>18P080RSW</t>
  </si>
  <si>
    <t>QVCAP9QR</t>
  </si>
  <si>
    <t>18P080RSW_161014-202632_220128-155155.jpg</t>
  </si>
  <si>
    <t>18P050RSW</t>
  </si>
  <si>
    <t>18P050RSW.jpg</t>
  </si>
  <si>
    <t>G/F .010 HARD ROUND WIRE</t>
  </si>
  <si>
    <t>GF010RHW</t>
  </si>
  <si>
    <t>WEP7MW9F</t>
  </si>
  <si>
    <t>GF010RHW.jpg</t>
  </si>
  <si>
    <t>18KY .008 SOFT ROUND WIRE</t>
  </si>
  <si>
    <t>18Y008RSW</t>
  </si>
  <si>
    <t>W9H6J8TL</t>
  </si>
  <si>
    <t>18Y008RSW.jpg</t>
  </si>
  <si>
    <t>22KY 4MM X 27GA BEZEL WIRE</t>
  </si>
  <si>
    <t>22Y4BZW</t>
  </si>
  <si>
    <t>ZEWH2FUA</t>
  </si>
  <si>
    <t>5MMBZW_170322-135610_170322-170158_181022-134959_191204-142825_211111-141814_250128-143418.jpg</t>
  </si>
  <si>
    <t>Screenshot2011-02-24at3.07.58PM.png</t>
  </si>
  <si>
    <t>F/S .375 ROUND WIRE</t>
  </si>
  <si>
    <t>FS375RSW</t>
  </si>
  <si>
    <t>RDZ855RP</t>
  </si>
  <si>
    <t>FS375RSW.jpg</t>
  </si>
  <si>
    <t>14KY .060 CHANNEL WIRE</t>
  </si>
  <si>
    <t>14Y060CW</t>
  </si>
  <si>
    <t>Y2HTYN5W</t>
  </si>
  <si>
    <t>14Y060CW_180215-163733.jpg</t>
  </si>
  <si>
    <t>14KY .086 CHANNEL WIRE -PATTERN#4414</t>
  </si>
  <si>
    <t>14Y086CW</t>
  </si>
  <si>
    <t>5PN03C40</t>
  </si>
  <si>
    <t>14Y086CW_161121-195101_170323-134340_171207-153604_180312-145903_180926-141421_181214-161127_190128-200700_190422-162452_191017-150605_210602-152347.jpg</t>
  </si>
  <si>
    <t>14KY .105 CHANNEL WIRE PATTERN#4415</t>
  </si>
  <si>
    <t>14Y105CW</t>
  </si>
  <si>
    <t>6CAL3W6W</t>
  </si>
  <si>
    <t>14Y105CW_161121-194829_180622-193020_180928-184250_181101-153104_181214-160144.jpg</t>
  </si>
  <si>
    <t>F/S .012 ROUND WIRE</t>
  </si>
  <si>
    <t>FS012RSW</t>
  </si>
  <si>
    <t>N21PX39P</t>
  </si>
  <si>
    <t>FS012RSW_190918-154742_201014-133130_210719-130423.jpg</t>
  </si>
  <si>
    <t>S/S .010 SOFT ROUND WIRE</t>
  </si>
  <si>
    <t>SS010RSW</t>
  </si>
  <si>
    <t>J98CNZUJ</t>
  </si>
  <si>
    <t>SS010RSW_190603-145522.jpg</t>
  </si>
  <si>
    <t>22KY 2MM X 27GA BEZEL WIRE</t>
  </si>
  <si>
    <t>22Y2BZW</t>
  </si>
  <si>
    <t>3R2R5K3Q</t>
  </si>
  <si>
    <t>2MMBZW.jpg</t>
  </si>
  <si>
    <t>S/S .020 PINTONG WIRE</t>
  </si>
  <si>
    <t>SS020PTW</t>
  </si>
  <si>
    <t>3DEMQ4LL</t>
  </si>
  <si>
    <t>18KY .040 SQUARE WIRE</t>
  </si>
  <si>
    <t>18Y040SQW</t>
  </si>
  <si>
    <t>S/S .025 SQUARE WIRE</t>
  </si>
  <si>
    <t>SS025SQW</t>
  </si>
  <si>
    <t>C1CX5Y7L</t>
  </si>
  <si>
    <t>18W100SQW.jpg</t>
  </si>
  <si>
    <t>S/S 1/4" X .060 FLAT WIRE</t>
  </si>
  <si>
    <t>SS1/4-060FW</t>
  </si>
  <si>
    <t>KR9DA42J</t>
  </si>
  <si>
    <t>SS1-4-060FW_161129-142422_191126-181433.jpg</t>
  </si>
  <si>
    <t>S/S 1/4" X .125 FLAT WIRE</t>
  </si>
  <si>
    <t>SS1/4-125FW</t>
  </si>
  <si>
    <t>SS1-4-125FW.jpg</t>
  </si>
  <si>
    <t>22KY 7MM X 27GA BEZEL WIRE</t>
  </si>
  <si>
    <t>22Y7MMBZW</t>
  </si>
  <si>
    <t>YLEXDA49</t>
  </si>
  <si>
    <t>7MMBZW.jpg</t>
  </si>
  <si>
    <t>22KY 4.5MM X 27GA BEZEL WIRE</t>
  </si>
  <si>
    <t>22Y4.5BZW</t>
  </si>
  <si>
    <t>8ATPF4UE</t>
  </si>
  <si>
    <t>45MMBZW_170322-135408_190522-144813.jpg</t>
  </si>
  <si>
    <t>22KY 5MM X 27GA BEZEL WIRE</t>
  </si>
  <si>
    <t>22Y5BZW</t>
  </si>
  <si>
    <t>AEA6RA8E</t>
  </si>
  <si>
    <t>5MMBZW_170322-135517_191204-142958_251211-181303.jpg</t>
  </si>
  <si>
    <t>PLATINUM .010 ROUND SOFT WIRE</t>
  </si>
  <si>
    <t>PT010RSW</t>
  </si>
  <si>
    <t>14KY .038 CHANNEL WIRE</t>
  </si>
  <si>
    <t>14Y038CW</t>
  </si>
  <si>
    <t>NMWQJZ54</t>
  </si>
  <si>
    <t>14Y038CW_190501-133933.jpg</t>
  </si>
  <si>
    <t>14KW .086 CHANNEL WIRE</t>
  </si>
  <si>
    <t>14W086CW</t>
  </si>
  <si>
    <t>PVRXDRKN</t>
  </si>
  <si>
    <t>14W086CW.jpg</t>
  </si>
  <si>
    <t>18KG .050 SOFT ROUND WIRE</t>
  </si>
  <si>
    <t>18G050RSW</t>
  </si>
  <si>
    <t>TD3X2F8W</t>
  </si>
  <si>
    <t>18G050RSW.jpg</t>
  </si>
  <si>
    <t>STERLING SOLID TWISTED WIRE</t>
  </si>
  <si>
    <t>SS2390TW</t>
  </si>
  <si>
    <t>3P3NQ1PC</t>
  </si>
  <si>
    <t>Screenshot2011-02-24at3.54.27PM.png</t>
  </si>
  <si>
    <t>22KY 6MM X 27GA BEZEL WIRE</t>
  </si>
  <si>
    <t>22Y6BZW</t>
  </si>
  <si>
    <t>UU7A7NT4</t>
  </si>
  <si>
    <t>6MMBZW_181022-135111_230111-160805_251211-181817.jpg</t>
  </si>
  <si>
    <t>14KW 1/8 BEZEL WIRE</t>
  </si>
  <si>
    <t>14W1/8BW</t>
  </si>
  <si>
    <t>ZF99WCC2</t>
  </si>
  <si>
    <t>18KW .050 SQUARE WIRE</t>
  </si>
  <si>
    <t>18W050SQW</t>
  </si>
  <si>
    <t>E5XRZ2EJ</t>
  </si>
  <si>
    <t>18W050SQW.jpg</t>
  </si>
  <si>
    <t>18KP .010 SOFT ROUND WIRE</t>
  </si>
  <si>
    <t>18P010RSW</t>
  </si>
  <si>
    <t>EDNK2D09</t>
  </si>
  <si>
    <t>18P010RSW_230323-162324.jpg</t>
  </si>
  <si>
    <t>14KP .125 SOFT ROUND WIRE</t>
  </si>
  <si>
    <t>14P125RSW</t>
  </si>
  <si>
    <t>18KY .038 CHANNEL WIRE</t>
  </si>
  <si>
    <t>18Y038CW</t>
  </si>
  <si>
    <t>JJJ42E4N</t>
  </si>
  <si>
    <t>18Y038CW_180329-144150.jpg</t>
  </si>
  <si>
    <t>18KW .125 SQUARE WIRE</t>
  </si>
  <si>
    <t>18W125SQW</t>
  </si>
  <si>
    <t>YX6RZ312</t>
  </si>
  <si>
    <t>18W125SQW.jpg</t>
  </si>
  <si>
    <t>10KY .010 SOFT ROUND WIRE</t>
  </si>
  <si>
    <t>10Y010RSW</t>
  </si>
  <si>
    <t>QLVRFX0V</t>
  </si>
  <si>
    <t>10Y010RSW_191017-151130.jpg</t>
  </si>
  <si>
    <t>F/S 1/2" X .010" FLAT BEZEL WIRE</t>
  </si>
  <si>
    <t>FS1/2BW</t>
  </si>
  <si>
    <t>2Y7C1ZHR</t>
  </si>
  <si>
    <t>14KY .052 CHANNEL WIRE</t>
  </si>
  <si>
    <t>14Y052CW</t>
  </si>
  <si>
    <t>PN1NXACL</t>
  </si>
  <si>
    <t>14Y052CW.jpg</t>
  </si>
  <si>
    <t>18KY .052 CHANNEL WIRE</t>
  </si>
  <si>
    <t>18Y052CW</t>
  </si>
  <si>
    <t>0RUCL5PF</t>
  </si>
  <si>
    <t>18Y052CW.jpg</t>
  </si>
  <si>
    <t>18KY .050 SQUARE WIRE</t>
  </si>
  <si>
    <t>18Y050SQW</t>
  </si>
  <si>
    <t>E15C8UP0</t>
  </si>
  <si>
    <t>SS050RSW_160902-132705_170201-211218_170809-145213_180228-143611_180620-140044_190110-184816_190501-135116_190514-141029_220404-144219_230725-153248_240426-131854.jpg</t>
  </si>
  <si>
    <t>S/S .375 SOFT ROUND WIRE</t>
  </si>
  <si>
    <t>SS375RSW</t>
  </si>
  <si>
    <t>9KW03RPT</t>
  </si>
  <si>
    <t>SS375RSW.jpg</t>
  </si>
  <si>
    <t>14KW .038 CHANNEL WIRE -PATTERN#3257</t>
  </si>
  <si>
    <t>14W038CW</t>
  </si>
  <si>
    <t>VJAVPEZD</t>
  </si>
  <si>
    <t>14W038CW_190501-134105.jpg</t>
  </si>
  <si>
    <t>18KW .038 CHANNEL WIRE
pattern#4426
item#c0680</t>
  </si>
  <si>
    <t>18W038CW</t>
  </si>
  <si>
    <t>UPAP4WUW</t>
  </si>
  <si>
    <t>18W038CW.jpg</t>
  </si>
  <si>
    <t>14KW .018 SOFT ROUND WIRE</t>
  </si>
  <si>
    <t>14W018RSW</t>
  </si>
  <si>
    <t>044XDRYV</t>
  </si>
  <si>
    <t>14W018RSW.jpg</t>
  </si>
  <si>
    <t>18KY .125 SQUARE WIRE</t>
  </si>
  <si>
    <t>18Y125SQW</t>
  </si>
  <si>
    <t>TRVWN38R</t>
  </si>
  <si>
    <t>18Y125SQW.jpg</t>
  </si>
  <si>
    <t>24KY CLOISONNE WIRE 010 X 040</t>
  </si>
  <si>
    <t>24YCLOISONNE</t>
  </si>
  <si>
    <t>7HVKHC7N</t>
  </si>
  <si>
    <t>5MMBZW.jpg</t>
  </si>
  <si>
    <t>PLATINUM 1.5MM X .75MM HALF-ROUND WIRE</t>
  </si>
  <si>
    <t>PT1.5HRW</t>
  </si>
  <si>
    <t>W5QMVLFU</t>
  </si>
  <si>
    <t>PT1.5HRW.jpg</t>
  </si>
  <si>
    <t>PLATINUM 2MM X 1MM HALF-ROUND WIRE</t>
  </si>
  <si>
    <t>PT2HRW</t>
  </si>
  <si>
    <t>NZM848UL</t>
  </si>
  <si>
    <t>14KY .080 SQUARE WIRE</t>
  </si>
  <si>
    <t>14Y080SQW</t>
  </si>
  <si>
    <t>3XXUND4H</t>
  </si>
  <si>
    <t>14Y080SQW.jpg</t>
  </si>
  <si>
    <t>14KW .080 SQUARE WIRE</t>
  </si>
  <si>
    <t>14W080SQW</t>
  </si>
  <si>
    <t>5X9YMYH0</t>
  </si>
  <si>
    <t>14W080SQW.jpg</t>
  </si>
  <si>
    <t>1023T299</t>
  </si>
  <si>
    <t>18W050RSW_180420-152004_210315-145359_220830-141156.jpg</t>
  </si>
  <si>
    <t>18Y030RHW</t>
  </si>
  <si>
    <t>10KY .040 PINTONG WIRE</t>
  </si>
  <si>
    <t>10Y040PTW</t>
  </si>
  <si>
    <t>Y9HWPH3Z</t>
  </si>
  <si>
    <t>10Y040PTW_181113-175301.jpg</t>
  </si>
  <si>
    <t>10KY .030 PINTONG WIRE</t>
  </si>
  <si>
    <t>10Y030PTW</t>
  </si>
  <si>
    <t>L13J88L3</t>
  </si>
  <si>
    <t>10Y030PTW.jpg</t>
  </si>
  <si>
    <t>14KP .010 SOFT ROUND WIRE</t>
  </si>
  <si>
    <t>14P010RSW</t>
  </si>
  <si>
    <t>F/S CLOISONNE WIRE .010 X 040</t>
  </si>
  <si>
    <t>CLOISWR</t>
  </si>
  <si>
    <t>KP1NCN4P</t>
  </si>
  <si>
    <t>14KW .008 SOFT ROUND WIRE</t>
  </si>
  <si>
    <t>14W008RSW</t>
  </si>
  <si>
    <t>FR74T5RP</t>
  </si>
  <si>
    <t>14W008RSW_170901-181147_210129-144511.jpg</t>
  </si>
  <si>
    <t>14KY .008 HARD ROUND WIRE</t>
  </si>
  <si>
    <t>14Y008RHW</t>
  </si>
  <si>
    <t>2U5FWQ5W</t>
  </si>
  <si>
    <t>14KY008RHW.jpg</t>
  </si>
  <si>
    <t>18KG .012 SOFT ROUND WIRE</t>
  </si>
  <si>
    <t>18G012RSW</t>
  </si>
  <si>
    <t>VA770K6C</t>
  </si>
  <si>
    <t>18G012RSW_180102-202410.jpg</t>
  </si>
  <si>
    <t>14KY 2.0MM BEADED WIRE</t>
  </si>
  <si>
    <t>14Y2BDW</t>
  </si>
  <si>
    <t>DJ1P43UX</t>
  </si>
  <si>
    <t>Screenshot2011-02-24at3.07.58PM_180802-141549.png</t>
  </si>
  <si>
    <t xml:space="preserve">14KP .030 PINTONG WIRE </t>
  </si>
  <si>
    <t>14P030PTW</t>
  </si>
  <si>
    <t>J0TX7MK8</t>
  </si>
  <si>
    <t>14P030PTW_170227-145106_190321-130338.jpg</t>
  </si>
  <si>
    <t xml:space="preserve">14KY .015 PINTONG WIRE </t>
  </si>
  <si>
    <t>14Y015PTW</t>
  </si>
  <si>
    <t>KJPFUXTU</t>
  </si>
  <si>
    <t>14Y015PTW.jpg</t>
  </si>
  <si>
    <t>S/S .115 HARD ROUND WIRE</t>
  </si>
  <si>
    <t>SS115RHW</t>
  </si>
  <si>
    <t>4QTP78J1</t>
  </si>
  <si>
    <t>SS115RHW.jpg</t>
  </si>
  <si>
    <t xml:space="preserve">14KG .030 PINTONG WIRE </t>
  </si>
  <si>
    <t>14G030PTW</t>
  </si>
  <si>
    <t>F87HV72V</t>
  </si>
  <si>
    <t>14G030PTW.jpg</t>
  </si>
  <si>
    <t>18KY .070 SOFT ROUND WIRE</t>
  </si>
  <si>
    <t>18Y070RSW</t>
  </si>
  <si>
    <t>X6QZPC88</t>
  </si>
  <si>
    <t>18Y070RSW.jpg</t>
  </si>
  <si>
    <t>18Y100RHW</t>
  </si>
  <si>
    <t>18KY .080 EXTRA HARD ROUND WIRE</t>
  </si>
  <si>
    <t>18Y080RHW</t>
  </si>
  <si>
    <t>14KG .012 SOFT ROUND WIRE</t>
  </si>
  <si>
    <t>14G012RSW</t>
  </si>
  <si>
    <t>NXUHP38Q</t>
  </si>
  <si>
    <t>14G012RSW.jpg</t>
  </si>
  <si>
    <t>18KP .030 PINTONG WIRE</t>
  </si>
  <si>
    <t>18P030PTW</t>
  </si>
  <si>
    <t>JV5CT6UL</t>
  </si>
  <si>
    <t>18P030PTW.jpg</t>
  </si>
  <si>
    <t xml:space="preserve">14KW .060 CHANNEL WIRE </t>
  </si>
  <si>
    <t>14W060CW</t>
  </si>
  <si>
    <t>2L54VWWY</t>
  </si>
  <si>
    <t>14W060CW_180227-162837.jpg</t>
  </si>
  <si>
    <t>18KY .060 SQUARE WIRE</t>
  </si>
  <si>
    <t>18Y060SQW</t>
  </si>
  <si>
    <t>18KW .012 SOFT ROUND WIRE</t>
  </si>
  <si>
    <t>18W012RSW</t>
  </si>
  <si>
    <t>6J0DP7FV</t>
  </si>
  <si>
    <t>18W012RSW.jpg</t>
  </si>
  <si>
    <t>18KG .030 SOFT ROUND WIRE #38</t>
  </si>
  <si>
    <t>18G030RSW</t>
  </si>
  <si>
    <t>P5Q3TD83</t>
  </si>
  <si>
    <t>18G030RSW.jpg</t>
  </si>
  <si>
    <t>14KP .160 SOFT ROUND WIRE</t>
  </si>
  <si>
    <t>14P160RSW</t>
  </si>
  <si>
    <t>R4QJMQMT</t>
  </si>
  <si>
    <t>14P160RSW.jpg</t>
  </si>
  <si>
    <t>18KY 1MM X 1MM SQUARE WIRE</t>
  </si>
  <si>
    <t>18Y1SQW</t>
  </si>
  <si>
    <t>9JND4A3P</t>
  </si>
  <si>
    <t>18W100SQW_230628-150404.jpg</t>
  </si>
  <si>
    <t>S/S .500 SOFT ROUND WIRE</t>
  </si>
  <si>
    <t>SS500RSW</t>
  </si>
  <si>
    <t>K2269M0A</t>
  </si>
  <si>
    <t>SS500RSW.jpg</t>
  </si>
  <si>
    <t>S/S .200 HARD ROUND WIRE</t>
  </si>
  <si>
    <t>SS200RHW</t>
  </si>
  <si>
    <t>6WM32PY5</t>
  </si>
  <si>
    <t>SS200RHW.jpg</t>
  </si>
  <si>
    <t>S/S .035 SQUARE WIRE</t>
  </si>
  <si>
    <t>SS035SQW</t>
  </si>
  <si>
    <t>1Y7Q3FMX</t>
  </si>
  <si>
    <t>SS030SQW.jpg</t>
  </si>
  <si>
    <t>S/S 7MM TWISTED WIRE</t>
  </si>
  <si>
    <t>SS3965TW</t>
  </si>
  <si>
    <t>ZL98AJ8X</t>
  </si>
  <si>
    <t>S/S .030 SQUARE WIRE</t>
  </si>
  <si>
    <t>SS030SQW</t>
  </si>
  <si>
    <t>S/S 9MM TWISTED WIRE</t>
  </si>
  <si>
    <t>SS5127TW</t>
  </si>
  <si>
    <t>7MMWX4RF</t>
  </si>
  <si>
    <t>Screenshot2011-02-24at3.54.27PM_170712-182059.png</t>
  </si>
  <si>
    <t xml:space="preserve">14KP .012 SOFT ROUND WIRE </t>
  </si>
  <si>
    <t>14P012RSW</t>
  </si>
  <si>
    <t>NAHUJU8A</t>
  </si>
  <si>
    <t>14P012RSW.jpg</t>
  </si>
  <si>
    <t>14KG .040 PINTONG WIRE</t>
  </si>
  <si>
    <t>14G040PTW</t>
  </si>
  <si>
    <t>F185MD69</t>
  </si>
  <si>
    <t>14G040PTW.jpg</t>
  </si>
  <si>
    <t>18KG .050 PINTONG WIRE</t>
  </si>
  <si>
    <t>18G050PTW</t>
  </si>
  <si>
    <t>E5YYT24R</t>
  </si>
  <si>
    <t>18G050PTW.jpg</t>
  </si>
  <si>
    <t>14KP 038 CHANNEL WIRE -PATTERN #3257</t>
  </si>
  <si>
    <t>14P038CW</t>
  </si>
  <si>
    <t>204F8EEP</t>
  </si>
  <si>
    <t>18P038CW.jpg</t>
  </si>
  <si>
    <t>14KP .045 CHANNEL WIRE -PATTERN#4409</t>
  </si>
  <si>
    <t>14P045CW</t>
  </si>
  <si>
    <t>AN2LKHDJ</t>
  </si>
  <si>
    <t>18KP .038 CHANNEL WIRE</t>
  </si>
  <si>
    <t>18P038CW</t>
  </si>
  <si>
    <t>43NR1LHX</t>
  </si>
  <si>
    <t>14KP .040 PINTONG WIRE</t>
  </si>
  <si>
    <t>14P040PTW</t>
  </si>
  <si>
    <t>K5DKEJ49</t>
  </si>
  <si>
    <t>14P040PTW_171120-184951_180131-145856.jpg</t>
  </si>
  <si>
    <t>18KW 045 CHANEL WIRE</t>
  </si>
  <si>
    <t>18W045CW</t>
  </si>
  <si>
    <t>DW16J68V</t>
  </si>
  <si>
    <t>18KY .025 HARD ROUND WIRE</t>
  </si>
  <si>
    <t>18Y025RHW</t>
  </si>
  <si>
    <t>K6L1EER8</t>
  </si>
  <si>
    <t>18Y025RHW.jpg</t>
  </si>
  <si>
    <t>18KW .025 HARD ROUND WIRE</t>
  </si>
  <si>
    <t>18W025RHW</t>
  </si>
  <si>
    <t>06YHHV77</t>
  </si>
  <si>
    <t>18W025RHW.jpg</t>
  </si>
  <si>
    <t>18KP .025 HARD ROUND WIRE</t>
  </si>
  <si>
    <t>18P025RHW</t>
  </si>
  <si>
    <t>Y9QPNUUE</t>
  </si>
  <si>
    <t>18P025RHW.jpg</t>
  </si>
  <si>
    <t>PLAT. 028 SOFT ROUND WIRE</t>
  </si>
  <si>
    <t>PT028RSW</t>
  </si>
  <si>
    <t>0RDNQNQE</t>
  </si>
  <si>
    <t>PT028RSW.jpg</t>
  </si>
  <si>
    <t xml:space="preserve">22KY 5.5MM X 27GA BEZEL WIRE
</t>
  </si>
  <si>
    <t>22Y5.5BZW</t>
  </si>
  <si>
    <t>E4T2W2M0</t>
  </si>
  <si>
    <t>5MMBZW_170322-135610_181022-134841_230111-160723.jpg</t>
  </si>
  <si>
    <t>18KY .015 HARD ROUND WIRE</t>
  </si>
  <si>
    <t>18Y015RHW</t>
  </si>
  <si>
    <t>X57M0HJ9</t>
  </si>
  <si>
    <t>18Y015RSW_190422-191220_190819-140604.jpg,18Y015RHW_190819-140855.jpg</t>
  </si>
  <si>
    <t>S/S .060 ARGENTIUM SOFT ROUND WIRE</t>
  </si>
  <si>
    <t>SS060ARSW</t>
  </si>
  <si>
    <t>LEAHW86X</t>
  </si>
  <si>
    <t>SS060ARSW.jpg</t>
  </si>
  <si>
    <t>S/S .050 ARGENTIUM SOFT ROUND WIRE</t>
  </si>
  <si>
    <t>SS050ARSW</t>
  </si>
  <si>
    <t>DPAN98D5</t>
  </si>
  <si>
    <t>SS050ARSW.jpg</t>
  </si>
  <si>
    <t>S/S .040 ARGENTIUM SOFT ROUND WIRE</t>
  </si>
  <si>
    <t>SS040ARSW</t>
  </si>
  <si>
    <t>XR19KWQL</t>
  </si>
  <si>
    <t>SS040ARSW.jpg</t>
  </si>
  <si>
    <t>S/S .025 ARGENTIUM SOFT ROUND WIRE</t>
  </si>
  <si>
    <t>SS025ARSW</t>
  </si>
  <si>
    <t>WX8PZWZ6</t>
  </si>
  <si>
    <t>SS025ARSW.jpg</t>
  </si>
  <si>
    <t>SS .030 ARGENTIUM SOFT ROUND WIRE</t>
  </si>
  <si>
    <t>SS030ARSW</t>
  </si>
  <si>
    <t>MU5YNXFQ</t>
  </si>
  <si>
    <t>SS030ARSW.jpg</t>
  </si>
  <si>
    <t xml:space="preserve">18KY SQUARE WIRE
</t>
  </si>
  <si>
    <t>18YSQW</t>
  </si>
  <si>
    <t>H946U921</t>
  </si>
  <si>
    <t>24KY .010 SOFT ROUND WIRE</t>
  </si>
  <si>
    <t>24Y010RSW</t>
  </si>
  <si>
    <t>07JKH8FX</t>
  </si>
  <si>
    <t>10K160RSW_160824-092711.jpg</t>
  </si>
  <si>
    <t>22KY 3.5MM X 27GA BEZEL WIRE</t>
  </si>
  <si>
    <t>22Y3.5BZW</t>
  </si>
  <si>
    <t>X27R51HH</t>
  </si>
  <si>
    <t>5MMBZW_170322-135610_170322-170529_171010-150501_181022-132959_190522-145013_210217-144901_211111-141404_230111-160642_251211-181223.jpg</t>
  </si>
  <si>
    <t>22KY 3MM X 27GA BEZEL WIRE</t>
  </si>
  <si>
    <t>22Y3BZW</t>
  </si>
  <si>
    <t>WUYLYE5V</t>
  </si>
  <si>
    <t>5MMBZW_170322-135610_170322-170134_171010-145928_191204-142617_200908-131703_210107-185139_211111-141027_230111-160604_250128-143300.jpg</t>
  </si>
  <si>
    <t>18G060RHW</t>
  </si>
  <si>
    <t>F/S .160 ROUND WIRE</t>
  </si>
  <si>
    <t>FS160RSW</t>
  </si>
  <si>
    <t>CMXQJJCK</t>
  </si>
  <si>
    <t xml:space="preserve">F/S .125 SQUARE WIRE </t>
  </si>
  <si>
    <t>FS125SQW</t>
  </si>
  <si>
    <t>V294M579</t>
  </si>
  <si>
    <t>G/F .040 SQUARE WIRE</t>
  </si>
  <si>
    <t>GF040SQW</t>
  </si>
  <si>
    <t>J836F89K</t>
  </si>
  <si>
    <t>22KY 2.5MM X 27GA BEZEL WIRE</t>
  </si>
  <si>
    <t>22Y2.5BZW</t>
  </si>
  <si>
    <t>CR81MDCD</t>
  </si>
  <si>
    <t>5MMBZW_170322-135610_170322-170146_171010-150146_181022-134720_190522-145219_211104-185625_230111-160530_250128-143332_251211-181133.jpg</t>
  </si>
  <si>
    <t xml:space="preserve">14KP 3.5MM X 1MM FLAT WIRE </t>
  </si>
  <si>
    <t>14P3.5FW</t>
  </si>
  <si>
    <t>10CTEA2K</t>
  </si>
  <si>
    <t xml:space="preserve">S/S 3/16" SEATED BEZEL WIRE </t>
  </si>
  <si>
    <t>SS3/16SBW</t>
  </si>
  <si>
    <t>PH92LAED</t>
  </si>
  <si>
    <t>16SBW.jpg</t>
  </si>
  <si>
    <t>S/S .250 SQUARE WIRE</t>
  </si>
  <si>
    <t>SS250SQW</t>
  </si>
  <si>
    <t>JMNFXFCV</t>
  </si>
  <si>
    <t>SS250SQW_160718-143925_190403-172401_250422-184340.jpg</t>
  </si>
  <si>
    <t>18G060RSW</t>
  </si>
  <si>
    <t>NL03E02Q</t>
  </si>
  <si>
    <t>18G060RSW.jpg</t>
  </si>
  <si>
    <t>14KW .040 SQUARE WIRE</t>
  </si>
  <si>
    <t>14W040SQW</t>
  </si>
  <si>
    <t>Q9CKNQ4T</t>
  </si>
  <si>
    <t>14W040SQW_180810-150625.jpg</t>
  </si>
  <si>
    <t>14KG .040 SQUARE WIRE</t>
  </si>
  <si>
    <t>14G040SQW</t>
  </si>
  <si>
    <t>2M3W12PT</t>
  </si>
  <si>
    <t>14W040SQW.jpg</t>
  </si>
  <si>
    <t>14KP .040 SQUARE WIRE</t>
  </si>
  <si>
    <t>14P040SQW</t>
  </si>
  <si>
    <t>8ZNPZ684</t>
  </si>
  <si>
    <t>10KY .035 PINTONG WIRE</t>
  </si>
  <si>
    <t>10Y035PTW</t>
  </si>
  <si>
    <t>UERV52DL</t>
  </si>
  <si>
    <t>PLATINUM .008 SOFT ROUND WIRE</t>
  </si>
  <si>
    <t>PT008RSW</t>
  </si>
  <si>
    <t>18KY .060 ROUND SOFT WIRE</t>
  </si>
  <si>
    <t>C0HE61QF</t>
  </si>
  <si>
    <t>18KW PALLADIUM .025 ROUND WIRE</t>
  </si>
  <si>
    <t>18WPD025RW</t>
  </si>
  <si>
    <t>UHC7CVVC</t>
  </si>
  <si>
    <t>18W030RSW_171122-153218.jpg</t>
  </si>
  <si>
    <t>G/F .015 SQUARE WIRE</t>
  </si>
  <si>
    <t>GF015SQW</t>
  </si>
  <si>
    <t>VF6K3C5A</t>
  </si>
  <si>
    <t>14W040SQW_171020-160409.jpg</t>
  </si>
  <si>
    <t>18KP .100 SOFT ROUND WIRE</t>
  </si>
  <si>
    <t>18P100RSW</t>
  </si>
  <si>
    <t>ZRZMHW13</t>
  </si>
  <si>
    <t>18P100RSW_240409-191540_240426-141939.jpg</t>
  </si>
  <si>
    <t>0HQUTXWP</t>
  </si>
  <si>
    <t>14W025PTW_180523-152240_251024-142131.jpg</t>
  </si>
  <si>
    <t>S/S .080 SQUARE WIRE</t>
  </si>
  <si>
    <t>SS080SQW</t>
  </si>
  <si>
    <t>2KP2UX3P</t>
  </si>
  <si>
    <t>SS075SQW_160914-145105_161024-193343_170403-144804.jpg</t>
  </si>
  <si>
    <t>14KY .025 HARD ROUND WIRE</t>
  </si>
  <si>
    <t>14Y025RHW</t>
  </si>
  <si>
    <t>NJPL9JUL</t>
  </si>
  <si>
    <t>14Y025RHW_171120-191958_191021-130635_220719-170424_220829-174305_230202-153116_230615-140923_230628-150109_231018-182336.jpg</t>
  </si>
  <si>
    <t>18KY .020 ROUND HARD WIRE</t>
  </si>
  <si>
    <t>18Y020RHW</t>
  </si>
  <si>
    <t>PLX9H38W</t>
  </si>
  <si>
    <t>14G .050 ROUND HARD WIRE</t>
  </si>
  <si>
    <t>14G050RHW</t>
  </si>
  <si>
    <t>18KW .060 HARD ROUND WIRE</t>
  </si>
  <si>
    <t>18W060RHW</t>
  </si>
  <si>
    <t>QEJUMRQQ</t>
  </si>
  <si>
    <t>18W060RSW.jpg</t>
  </si>
  <si>
    <t>PLATINUM 3.0MM SQUARE WIRE</t>
  </si>
  <si>
    <t>PT3SQW</t>
  </si>
  <si>
    <t>6KV1KUP4</t>
  </si>
  <si>
    <t>18W100SQW_170421-131819_190829-134439.jpg</t>
  </si>
  <si>
    <t>14KY 2MM ROUND LIGHT WALL TUBING (.010)</t>
  </si>
  <si>
    <t>14Y2TNRTU</t>
  </si>
  <si>
    <t>83THL113</t>
  </si>
  <si>
    <t>STERLING SILVER 5MM SOLID TWISTED WIRE</t>
  </si>
  <si>
    <t>SS5MMTW</t>
  </si>
  <si>
    <t>4240D2DD</t>
  </si>
  <si>
    <t>SS5MMTW.jpg</t>
  </si>
  <si>
    <t>8Q8LAV02</t>
  </si>
  <si>
    <t>22Y050RSW_230209-184123.jpg</t>
  </si>
  <si>
    <t>18KW PALLADIUM 3.6MM ROUND WIRE</t>
  </si>
  <si>
    <t>18WPD3.6RW</t>
  </si>
  <si>
    <t>2R3V1U48</t>
  </si>
  <si>
    <t>G/F .025 SQUARE WIRE</t>
  </si>
  <si>
    <t>GF025SQW</t>
  </si>
  <si>
    <t>HLFTJN5U</t>
  </si>
  <si>
    <t>18KY .060 ROUND HARD WIRE</t>
  </si>
  <si>
    <t>18Y060RHW</t>
  </si>
  <si>
    <t>798Y83XM</t>
  </si>
  <si>
    <t>18KW PALLADIUM .160 ROUND WIRE</t>
  </si>
  <si>
    <t>18WP160RW</t>
  </si>
  <si>
    <t>J3EJDXJ9</t>
  </si>
  <si>
    <t>18KW PALLADIUM .140 ROUND WIRE</t>
  </si>
  <si>
    <t>18WPD140RSW</t>
  </si>
  <si>
    <t>ALUUA9V8</t>
  </si>
  <si>
    <t xml:space="preserve">14KY 130MM X 27MM X 1MM FLAT SHEET </t>
  </si>
  <si>
    <t>14Y130X27X1FW</t>
  </si>
  <si>
    <t>CA2PCA3F</t>
  </si>
  <si>
    <t>18KY .020 SOFT ROUND WIRE</t>
  </si>
  <si>
    <t>18Y020RSW</t>
  </si>
  <si>
    <t>59WX5E42</t>
  </si>
  <si>
    <t>18Y020RSW_170516-164053_171120-212324_190520-145244_201014-132730_210723-143307_251212-173952.jpg</t>
  </si>
  <si>
    <t>18KY .105 CHANNEL WIRE #4415</t>
  </si>
  <si>
    <t>18Y105CW</t>
  </si>
  <si>
    <t>Z762DL8W</t>
  </si>
  <si>
    <t>18P038CW_170929-130940_180628-171206.jpg</t>
  </si>
  <si>
    <t>PMV0RUKE</t>
  </si>
  <si>
    <t>SS1-4-125FW_180320-174102_191203-191931_191203-192156.jpg</t>
  </si>
  <si>
    <t>24KY .012 SOFT ROUND WIRE</t>
  </si>
  <si>
    <t>24Y012RSW</t>
  </si>
  <si>
    <t>JW31W8P0</t>
  </si>
  <si>
    <t>14KY 4MM X 4MM SQUARE WIRE</t>
  </si>
  <si>
    <t>14Y4SQW</t>
  </si>
  <si>
    <t>FULWQF5A</t>
  </si>
  <si>
    <t>18W100SQW_161020-142342_161020-142500_161122-160849.jpg</t>
  </si>
  <si>
    <t>PLATINUM .040 ROUND SOFT WIRE</t>
  </si>
  <si>
    <t>PT040RSW</t>
  </si>
  <si>
    <t>TR66X3X2</t>
  </si>
  <si>
    <t>18KP 050 ROUND SOFT WIRE</t>
  </si>
  <si>
    <t>X01959Q1</t>
  </si>
  <si>
    <t>24KY .020 SOFT ROUND WIRE</t>
  </si>
  <si>
    <t>24Y020RSW</t>
  </si>
  <si>
    <t>5LWPQ9V2</t>
  </si>
  <si>
    <t>10K160RSW_160824-092558_230911-134850_240426-142026.jpg</t>
  </si>
  <si>
    <t>RX74N281</t>
  </si>
  <si>
    <t>34QR0KT9</t>
  </si>
  <si>
    <t>18W060RSW_160824-102943_190110-185605_210315-144914.jpg</t>
  </si>
  <si>
    <t>14KP 9MM X 1.25MM FLAT WIRE</t>
  </si>
  <si>
    <t>14P9X1.25FW</t>
  </si>
  <si>
    <t>WUDDVZ85</t>
  </si>
  <si>
    <t>S/S 4MM X 1MM FLAT WIRE</t>
  </si>
  <si>
    <t>SS4X1FW</t>
  </si>
  <si>
    <t>4Q3XLUJZ</t>
  </si>
  <si>
    <t>18W2.0FW.jpg</t>
  </si>
  <si>
    <t>SS090RSW</t>
  </si>
  <si>
    <t>18KY .080 HARD ROUND WIRE</t>
  </si>
  <si>
    <t>BRASS ROUND WIRE - 080
3 FEET LENGTH FOR -  2.00</t>
  </si>
  <si>
    <t>BR080RSW</t>
  </si>
  <si>
    <t>P35CCC9N</t>
  </si>
  <si>
    <t>S/S FANCY GALLERY WIRE</t>
  </si>
  <si>
    <t>3000143GW</t>
  </si>
  <si>
    <t>83AAU7D6</t>
  </si>
  <si>
    <t>PALLADIUM .040 ROUND WIRE</t>
  </si>
  <si>
    <t>PD040RSW</t>
  </si>
  <si>
    <t>DWAE0ZW3</t>
  </si>
  <si>
    <t>PD040RSW.jpg</t>
  </si>
  <si>
    <t>PLATINUM .080 ROUND SOFT WIRE</t>
  </si>
  <si>
    <t>PT080RSW</t>
  </si>
  <si>
    <t>UR5Z7XVQ</t>
  </si>
  <si>
    <t>14KY 140 SQUARE WIRE</t>
  </si>
  <si>
    <t>14Y140SQW</t>
  </si>
  <si>
    <t>CNE3CUUR</t>
  </si>
  <si>
    <t>S/S .086 CHANNEL WIRE (PATTERN#4414)</t>
  </si>
  <si>
    <t>SS086CW</t>
  </si>
  <si>
    <t>AUVYFKY8</t>
  </si>
  <si>
    <t>18P038CW_190918-153929.jpg</t>
  </si>
  <si>
    <t>F/S .012 X .125 BEZEL WIRE</t>
  </si>
  <si>
    <t>FS012-.125BZW</t>
  </si>
  <si>
    <t>LHMNF0J0</t>
  </si>
  <si>
    <t>14KY 3.5MM HALF-ROUND WIRE</t>
  </si>
  <si>
    <t>14Y3.5HRW</t>
  </si>
  <si>
    <t>JR06KK77</t>
  </si>
  <si>
    <t>14Y3.5HRW.jpg</t>
  </si>
  <si>
    <t>STERLING SILVER 4MM SOLID TWISTED WIRE</t>
  </si>
  <si>
    <t>SS4MMTW</t>
  </si>
  <si>
    <t>9THMX0AZ</t>
  </si>
  <si>
    <t>SS4MMTW.jpg</t>
  </si>
  <si>
    <t>S/S .012 HARD ROUND WIRE</t>
  </si>
  <si>
    <t>SS012RHW</t>
  </si>
  <si>
    <t>JY08UXEV</t>
  </si>
  <si>
    <t>SS015RHW_171020-150755.jpg</t>
  </si>
  <si>
    <t>18KY .060 EXTRA HARD ROUND WIRE</t>
  </si>
  <si>
    <t>18Y060RXHW</t>
  </si>
  <si>
    <t>T93980PU</t>
  </si>
  <si>
    <t>18Y040RSW_180313-152040.jpg</t>
  </si>
  <si>
    <t>PLATINUM .125 SOFT ROUND WIRE</t>
  </si>
  <si>
    <t>PT125RSW</t>
  </si>
  <si>
    <t>EU2WALN0</t>
  </si>
  <si>
    <t>PT125RSW_180220-142550_180717-181055_200113-180311_240820-133846.jpg</t>
  </si>
  <si>
    <t xml:space="preserve">14KW .045 HARD ROUND WIRE </t>
  </si>
  <si>
    <t>14W045RHW</t>
  </si>
  <si>
    <t>0DMAY4R2</t>
  </si>
  <si>
    <t>14W045RHW_181210-142404.jpg</t>
  </si>
  <si>
    <t>S/S 3.5MM BEADED WIRE</t>
  </si>
  <si>
    <t>SS3.5BDW</t>
  </si>
  <si>
    <t>RKAN7JHM</t>
  </si>
  <si>
    <t>Screenshot2011-02-24at3.07.58PM_170717-143145_170719-132012.png</t>
  </si>
  <si>
    <t>18KW PALLADIUM .040 ROUND SOFT WIRE</t>
  </si>
  <si>
    <t>18WPD040RSW</t>
  </si>
  <si>
    <t>Showcase 1 Tray 14</t>
  </si>
  <si>
    <t>14KY 2MM HALF-ROUND WIRE</t>
  </si>
  <si>
    <t>14KY2HRW</t>
  </si>
  <si>
    <t>K52EWPM1</t>
  </si>
  <si>
    <t>G/F .080 PINTONG WIRE</t>
  </si>
  <si>
    <t>GF080PTW</t>
  </si>
  <si>
    <t>K6KJQ80C</t>
  </si>
  <si>
    <t>GF080PTW.jpg</t>
  </si>
  <si>
    <t>18KG 080 ROUND HARD WIRE</t>
  </si>
  <si>
    <t>18G080RHW</t>
  </si>
  <si>
    <t>H6WYU8NF</t>
  </si>
  <si>
    <t>18G080RHW.jpg</t>
  </si>
  <si>
    <t>S/S .050 SOFT ROUND WIRE</t>
  </si>
  <si>
    <t>SS050RSW</t>
  </si>
  <si>
    <t>7PLDC653</t>
  </si>
  <si>
    <t>18KG .100 HARD WIRE</t>
  </si>
  <si>
    <t>18G100RHW</t>
  </si>
  <si>
    <t>8JR0H36Z</t>
  </si>
  <si>
    <t>18G100RSW.jpg</t>
  </si>
  <si>
    <t>14KY .015 SOFT ROUND WIRE</t>
  </si>
  <si>
    <t>14Y015RSW</t>
  </si>
  <si>
    <t>J35H4K30</t>
  </si>
  <si>
    <t>14Y015RSW_171120-191623_190819-142044_190923-190845_200113-141403_220901-172508_221102-135711_250910-175405.jpg</t>
  </si>
  <si>
    <t>10KY 1MM X 1MM SQUARE WIRE</t>
  </si>
  <si>
    <t>10Y1SQW</t>
  </si>
  <si>
    <t>F45W7Q9M</t>
  </si>
  <si>
    <t>18W100SQW_161020-143114_170710-193247_170712-192306.jpg</t>
  </si>
  <si>
    <t>14Y045RSW</t>
  </si>
  <si>
    <t>18KW PALLADIUM 6MM X 3MM FLAT WIRE</t>
  </si>
  <si>
    <t>18WP6X3FW</t>
  </si>
  <si>
    <t>0ETAKT4C</t>
  </si>
  <si>
    <t>18KW .100 HARD ROUND WIRE</t>
  </si>
  <si>
    <t>18W100RHW</t>
  </si>
  <si>
    <t>ZYRKU0C2</t>
  </si>
  <si>
    <t>18W100RSW_181022-140333_200113-174126.jpg</t>
  </si>
  <si>
    <t>XEDM00A0</t>
  </si>
  <si>
    <t>18Y040SQW_161220-145314_190503-142635_201203-140721.jpg</t>
  </si>
  <si>
    <t>PLATINUM .035 SOFT ROUND WIRE</t>
  </si>
  <si>
    <t>PT035RSW</t>
  </si>
  <si>
    <t>LDNC9MX4</t>
  </si>
  <si>
    <t>PT035RSW_211020-133446.jpg</t>
  </si>
  <si>
    <t>14KY 2.5MM X 2.5MM SQUARE WIRE</t>
  </si>
  <si>
    <t>14Y2.5SQW</t>
  </si>
  <si>
    <t>QD98WHFZ</t>
  </si>
  <si>
    <t>18W100SQW_161223-151034.jpg</t>
  </si>
  <si>
    <t xml:space="preserve">14KW .030 HARD ROUND WIRE </t>
  </si>
  <si>
    <t>18W030RHW</t>
  </si>
  <si>
    <t>14KY 2MM X 2MM SQUARE WIRE</t>
  </si>
  <si>
    <t>14Y2.0SQW</t>
  </si>
  <si>
    <t>5J6K3RWM</t>
  </si>
  <si>
    <t>14Y2.0SQW.jpg</t>
  </si>
  <si>
    <t>F37RZ23F</t>
  </si>
  <si>
    <t>14P010RSW_180817-142125_250708-133110_251212-173742.jpg</t>
  </si>
  <si>
    <t>18KG .050 ROUND HARD WIRE</t>
  </si>
  <si>
    <t>18G050RHW</t>
  </si>
  <si>
    <t>18KP 3MM X 2MM FLAT WIRE</t>
  </si>
  <si>
    <t>18P3X2FW</t>
  </si>
  <si>
    <t>DUFDTPLQ</t>
  </si>
  <si>
    <t>18W100RW.jpg</t>
  </si>
  <si>
    <t>S/S .048 SOFT ROUND WIRE</t>
  </si>
  <si>
    <t>SS048RSW</t>
  </si>
  <si>
    <t>ZFHQZ78H</t>
  </si>
  <si>
    <t>SS045RSW_160824-101206_160824-102217_160926-132224.jpg</t>
  </si>
  <si>
    <t>14Y080RXHW</t>
  </si>
  <si>
    <t>18KW PALLADIUM SQUARE WIRE</t>
  </si>
  <si>
    <t>18WPD4SQW</t>
  </si>
  <si>
    <t>LDQE6EFC</t>
  </si>
  <si>
    <t>87KKYC7K</t>
  </si>
  <si>
    <t>18W010RSW_171005-141733_190301-185407_211129-185119.jpg</t>
  </si>
  <si>
    <t xml:space="preserve">18KY 5MM X 30GA BEZEL WIRE </t>
  </si>
  <si>
    <t>18Y5.0BW</t>
  </si>
  <si>
    <t>4K0AN94E</t>
  </si>
  <si>
    <t>10KY 5MM X 1.5MM FLAT WIRE</t>
  </si>
  <si>
    <t>10Y5X1.5FW</t>
  </si>
  <si>
    <t>K6J4MY0Z</t>
  </si>
  <si>
    <t>14Y3.0FW.jpg</t>
  </si>
  <si>
    <t>22KY 025 ROUND SOFT WIRE</t>
  </si>
  <si>
    <t>UNF3A7F6</t>
  </si>
  <si>
    <t>S/S 4.75MM TWISTED CABLE WIRE</t>
  </si>
  <si>
    <t>3001733TW</t>
  </si>
  <si>
    <t>WYMEQL0L</t>
  </si>
  <si>
    <t>18KY 3MM X 2MM FLAT WIRE</t>
  </si>
  <si>
    <t>18Y3X2FW</t>
  </si>
  <si>
    <t>1NFA1CD5</t>
  </si>
  <si>
    <t>G/F .012 ROUND SOFT WIRE</t>
  </si>
  <si>
    <t>GF012RSW</t>
  </si>
  <si>
    <t>Z8Y863MN</t>
  </si>
  <si>
    <t>S/S .015 ROUND SOFT WIRE</t>
  </si>
  <si>
    <t>SS015RSW</t>
  </si>
  <si>
    <t>Z6HLPRT5</t>
  </si>
  <si>
    <t>18KY 5MM X 1MM FLAT WIRE</t>
  </si>
  <si>
    <t>18Y5MMFW</t>
  </si>
  <si>
    <t>KEJ1PJ67</t>
  </si>
  <si>
    <t>14Y2.0FW.jpg</t>
  </si>
  <si>
    <t>FPR7HN3H</t>
  </si>
  <si>
    <t>14W010RSW_171120-181037_200108-194444_210127-180758_230310-151537_251212-173656.jpg</t>
  </si>
  <si>
    <t xml:space="preserve">18KW PALLADIUM .125MM X 040 SHEET
</t>
  </si>
  <si>
    <t>18WP.125X040SH</t>
  </si>
  <si>
    <t>ULMQC267</t>
  </si>
  <si>
    <t xml:space="preserve">14KY .025 SOFT ROUND WIRE
</t>
  </si>
  <si>
    <t>14Y025RSW</t>
  </si>
  <si>
    <t>0DWHHJUW</t>
  </si>
  <si>
    <t>14Y025RSW_200113-143710_200616-161916_210211-154611_210401-144554_210601-150158_210621-144411_210830-130651_211013-170557_211022-135618_211025-134014_221202-150430_230106-143817.jpg</t>
  </si>
  <si>
    <t>14KP ROUND SOFT WIRE 050</t>
  </si>
  <si>
    <t>14P050RSW</t>
  </si>
  <si>
    <t>P587X6VZ</t>
  </si>
  <si>
    <t>P3N4QUDK</t>
  </si>
  <si>
    <t>18Y040PTW_161014-202505_180420-144309_240126-142414_250228-180948_250926-133228.jpg</t>
  </si>
  <si>
    <t>18KG .080 CLAD ROUND WIRE</t>
  </si>
  <si>
    <t>18G080CLAD</t>
  </si>
  <si>
    <t>3PHP1N8T</t>
  </si>
  <si>
    <t>18Y060RSW_170417-201607.jpg</t>
  </si>
  <si>
    <t>18KP 5MM HALF-ROUND WIRE</t>
  </si>
  <si>
    <t>18P5HRW</t>
  </si>
  <si>
    <t>D6T01N5V</t>
  </si>
  <si>
    <t>18Y3.0HRW.jpg</t>
  </si>
  <si>
    <t>THE BEADSMITH</t>
  </si>
  <si>
    <t>14KY 3MM X 1MM FLAT WIRE</t>
  </si>
  <si>
    <t>14Y3X1FW</t>
  </si>
  <si>
    <t>E3NUJPUW</t>
  </si>
  <si>
    <t>18KW .050 HARD ROUND WIRE</t>
  </si>
  <si>
    <t>18W050RHW</t>
  </si>
  <si>
    <t>W1PYHMU6</t>
  </si>
  <si>
    <t>18W050RSW_160803-095312.jpg</t>
  </si>
  <si>
    <t>14KY .050 ROUND WIRE</t>
  </si>
  <si>
    <t>14Y050RW</t>
  </si>
  <si>
    <t>E03DU87V</t>
  </si>
  <si>
    <t>14Y050RSW_190515-184715_230222-184635.jpg</t>
  </si>
  <si>
    <t xml:space="preserve">24KY .040 ROUND SOFT WIRE
</t>
  </si>
  <si>
    <t>24KY040RSW</t>
  </si>
  <si>
    <t>LUFQ8KFW</t>
  </si>
  <si>
    <t>18KW .010 ROUND HARD WIRE</t>
  </si>
  <si>
    <t>18W010RHW</t>
  </si>
  <si>
    <t>804191K9</t>
  </si>
  <si>
    <t xml:space="preserve">10KW 018 ROUND SOFT WIRE </t>
  </si>
  <si>
    <t>10W018RSW</t>
  </si>
  <si>
    <t>18W080PTW</t>
  </si>
  <si>
    <t>22KY 2.0MM X 1MM HALF-ROUND WIRE</t>
  </si>
  <si>
    <t>22Y2.0HRW</t>
  </si>
  <si>
    <t>Q96MACTD</t>
  </si>
  <si>
    <t>22Y2.0HRW.jpg</t>
  </si>
  <si>
    <t>14KP .060 SQUARE WIRE-HARD</t>
  </si>
  <si>
    <t>14P060SQW</t>
  </si>
  <si>
    <t>CZ2ND6JR</t>
  </si>
  <si>
    <t>14Y060SQW.jpg</t>
  </si>
  <si>
    <t xml:space="preserve">14KY .050 SOFT ROUND WIRE </t>
  </si>
  <si>
    <t>14Y050RSW</t>
  </si>
  <si>
    <t>F7JWUZA5</t>
  </si>
  <si>
    <t>14KY 3.8MM X 3.2MM FLAT WIRE</t>
  </si>
  <si>
    <t>14Y3.8X3.2FW</t>
  </si>
  <si>
    <t>5DN3P363</t>
  </si>
  <si>
    <t>18Y080XRHW</t>
  </si>
  <si>
    <t>VHQE0K00</t>
  </si>
  <si>
    <t>18Y080RHW_181214-203155.jpg</t>
  </si>
  <si>
    <t>PT3X2FW</t>
  </si>
  <si>
    <t>WUL3Y8ZJ</t>
  </si>
  <si>
    <t>FLAT WIRE_170421-132521_170421-132919_170615-144404.jpg</t>
  </si>
  <si>
    <t xml:space="preserve">COPPER 250 ROUND SOFT WIRE </t>
  </si>
  <si>
    <t>COPPER250RSW</t>
  </si>
  <si>
    <t>F2L3CR9F</t>
  </si>
  <si>
    <t>S/S 4MM X 2MM FLAT WIRE</t>
  </si>
  <si>
    <t>SS4X2FW</t>
  </si>
  <si>
    <t>J4HZNEHR</t>
  </si>
  <si>
    <t>18KP 4MM ROUND WIRE</t>
  </si>
  <si>
    <t>18P4.0RSW</t>
  </si>
  <si>
    <t>ZUTAV00Z</t>
  </si>
  <si>
    <t>18P160RSW.jpg</t>
  </si>
  <si>
    <t>18KY 2MM X 1MM FLAT WIRE</t>
  </si>
  <si>
    <t>18Y2X1FW</t>
  </si>
  <si>
    <t>8THT7PET</t>
  </si>
  <si>
    <t>PAFU392K</t>
  </si>
  <si>
    <t>18Y025RSW_161121-201411_170629-141043_181203-151757_190620-190031_191224-174906_201210-193031_210929-145540_220420-181203_230628-150228_241101-160547.jpg</t>
  </si>
  <si>
    <t xml:space="preserve">18KW PALLADIUM WIRE 080 </t>
  </si>
  <si>
    <t>18WPD080RSW</t>
  </si>
  <si>
    <t>2EP9DQVX</t>
  </si>
  <si>
    <t>18KW PALLADIUM .018 ROUND WIRE</t>
  </si>
  <si>
    <t>18WPD018RW</t>
  </si>
  <si>
    <t>8651J42T</t>
  </si>
  <si>
    <t>18W030RSW_170717-145116_170717-145606.jpg</t>
  </si>
  <si>
    <t xml:space="preserve">18KY 5MM X .010 BEZEL WIRE </t>
  </si>
  <si>
    <t>18Y5MMBW</t>
  </si>
  <si>
    <t>TXDF81DP</t>
  </si>
  <si>
    <t>18KY 2MM X .010 BEZEL WIRE</t>
  </si>
  <si>
    <t>18Y2MMBW</t>
  </si>
  <si>
    <t>J55WUK87</t>
  </si>
  <si>
    <t>22KY 2.5MM X 1.5MM HALF-ROUND WIRE</t>
  </si>
  <si>
    <t>22Y2.5HRW</t>
  </si>
  <si>
    <t>APVTYP8C</t>
  </si>
  <si>
    <t>18Y3.0HRW_161122-161151_161122-161350.jpg</t>
  </si>
  <si>
    <t>PURE PALLADIUM .010 ROUND WIRE</t>
  </si>
  <si>
    <t>PRPD010RW</t>
  </si>
  <si>
    <t>14FD4YZ5</t>
  </si>
  <si>
    <t xml:space="preserve">S/S .100 ROUND SOFT WIRE </t>
  </si>
  <si>
    <t>SS100RSW</t>
  </si>
  <si>
    <t>493ZKQA5</t>
  </si>
  <si>
    <t>18KY 1.5MM HALF ROUND WIRE</t>
  </si>
  <si>
    <t>ZQXZNPTL</t>
  </si>
  <si>
    <t>22KY 040 YELLOW ROUND SOFT WIRE</t>
  </si>
  <si>
    <t>QQ46HFF0</t>
  </si>
  <si>
    <t>ZCZAH93Z</t>
  </si>
  <si>
    <t>14Y008RSW_180122-175411.jpg</t>
  </si>
  <si>
    <t xml:space="preserve">S/S 1.5MM HALF ROUND WIRE </t>
  </si>
  <si>
    <t>SS1.5HRW</t>
  </si>
  <si>
    <t>TUXPHCH3</t>
  </si>
  <si>
    <t>18KP 3.5MM ROUND WIRE</t>
  </si>
  <si>
    <t>18P3.5RSW</t>
  </si>
  <si>
    <t>D2YXQ657</t>
  </si>
  <si>
    <t>18KP .060 SQUARE WIRE</t>
  </si>
  <si>
    <t>18P060SQW</t>
  </si>
  <si>
    <t>67DMHP06</t>
  </si>
  <si>
    <t>18P060SQW.jpg</t>
  </si>
  <si>
    <t>18KY 045 CHANNEL WIRE -PATTERN #4409</t>
  </si>
  <si>
    <t>18Y045CW</t>
  </si>
  <si>
    <t>TR29LLLM</t>
  </si>
  <si>
    <t>18P038CW_180403-183444_180727-140908.jpg</t>
  </si>
  <si>
    <t>18Y080RXHW</t>
  </si>
  <si>
    <t>2113E8AH</t>
  </si>
  <si>
    <t>18Y080RHW_170421-194627.jpg</t>
  </si>
  <si>
    <t>PLATINUM .125 SQUARE WIRE</t>
  </si>
  <si>
    <t>PT125SQW</t>
  </si>
  <si>
    <t>LH8X84K1</t>
  </si>
  <si>
    <t>G/F PINK .025 ROUND SOFT WIRE</t>
  </si>
  <si>
    <t>GFP025RSW</t>
  </si>
  <si>
    <t>56ZFJQP6</t>
  </si>
  <si>
    <t>18W070RSW.jpg</t>
  </si>
  <si>
    <t xml:space="preserve">14KY .035 SOFT ROUND WIRE </t>
  </si>
  <si>
    <t>14Y035RSW</t>
  </si>
  <si>
    <t>XMLX79A7</t>
  </si>
  <si>
    <t>14Y035RSW_210401-143708.jpg</t>
  </si>
  <si>
    <t>14XYNCVE</t>
  </si>
  <si>
    <t>18KY .045 EXTRA HARD ROUND WIRE</t>
  </si>
  <si>
    <t>18Y045RXHW</t>
  </si>
  <si>
    <t>W048L3Q0</t>
  </si>
  <si>
    <t>18Y045PTW_160927-133050_161031-144741_161031-144828_170201-211906_170516-145902_180326-184412_200211-143122.jpg</t>
  </si>
  <si>
    <t>18KW ROUND SOFT WIRE WITH PALLADIUM</t>
  </si>
  <si>
    <t>18WPD100RSW</t>
  </si>
  <si>
    <t>14Y040RSW</t>
  </si>
  <si>
    <t>14KY .045 HARD ROUND WIRE</t>
  </si>
  <si>
    <t>14Y045HRW</t>
  </si>
  <si>
    <t>JC0ZC8NM</t>
  </si>
  <si>
    <t>14Y045RHW.jpg</t>
  </si>
  <si>
    <t>14KW 045 CHANNEL WIRE--PATTERN #4409</t>
  </si>
  <si>
    <t>14W045CW</t>
  </si>
  <si>
    <t>939KJAZ4</t>
  </si>
  <si>
    <t>14KP .75MM X .75MM SQUARE WIRE</t>
  </si>
  <si>
    <t>14KP.75X.75SW</t>
  </si>
  <si>
    <t>L5J0A97Q</t>
  </si>
  <si>
    <t>5MMBZW_170109-175103_170109-175413.jpg</t>
  </si>
  <si>
    <t>18KP .060 ROUND HARD WIRE</t>
  </si>
  <si>
    <t>18P060RHW</t>
  </si>
  <si>
    <t>T554PXCL</t>
  </si>
  <si>
    <t>10KY 1.25MM X 1.25MM SQUARE WIRE</t>
  </si>
  <si>
    <t>10Y1.25SQW</t>
  </si>
  <si>
    <t>05Q0FXNM</t>
  </si>
  <si>
    <t>18W100SQW_161020-143114.jpg</t>
  </si>
  <si>
    <t>18KW .040 ROUND SOFT WIRE</t>
  </si>
  <si>
    <t>18W040RSW</t>
  </si>
  <si>
    <t>KV6TNPYU</t>
  </si>
  <si>
    <t>18KY .050 ROUND HARD WIRE</t>
  </si>
  <si>
    <t>18Y050RHW</t>
  </si>
  <si>
    <t>M95M35HD</t>
  </si>
  <si>
    <t>14KP 2.5MM X 1.75MM FLAT WIRE</t>
  </si>
  <si>
    <t>14P2.5X1.75FW</t>
  </si>
  <si>
    <t>RA2E6D6N</t>
  </si>
  <si>
    <t xml:space="preserve">PLATINUM .050 ROUND SOFT WIRE </t>
  </si>
  <si>
    <t>TN2H702R</t>
  </si>
  <si>
    <t>14KY .O40 ROUND SOFT WIRE</t>
  </si>
  <si>
    <t>30ZFQNZD</t>
  </si>
  <si>
    <t>S/S .040 SOFT ROUND WIRE</t>
  </si>
  <si>
    <t>SS040RSW</t>
  </si>
  <si>
    <t>10KY .045 HARD ROUND WIRE</t>
  </si>
  <si>
    <t>10Y045RHW</t>
  </si>
  <si>
    <t>H1Y2XV1Y</t>
  </si>
  <si>
    <t>10Y045RHW.jpg</t>
  </si>
  <si>
    <t>10KY .100 HARD ROUND WIRE</t>
  </si>
  <si>
    <t>10Y100RHW</t>
  </si>
  <si>
    <t>0D7LCXFZ</t>
  </si>
  <si>
    <t>10Y100RHW.jpg</t>
  </si>
  <si>
    <t xml:space="preserve">14KW .125 HARD ROUND WIRE </t>
  </si>
  <si>
    <t>14W125RHW</t>
  </si>
  <si>
    <t>J3V1K8ZR</t>
  </si>
  <si>
    <t>14W125RHW.jpg</t>
  </si>
  <si>
    <t>10KY .050 HARD ROUND WIRE</t>
  </si>
  <si>
    <t>10Y050RHW</t>
  </si>
  <si>
    <t>WMUWUTR5</t>
  </si>
  <si>
    <t>10Y050RHW.jpg</t>
  </si>
  <si>
    <t>10KY .160 HARD ROUND WIRE</t>
  </si>
  <si>
    <t>10Y160RHW</t>
  </si>
  <si>
    <t>FLHAY7DA</t>
  </si>
  <si>
    <t>10K160RSW.jpg</t>
  </si>
  <si>
    <t xml:space="preserve">14KW .025 NICKLE FREE SOFT ROUND WIRE </t>
  </si>
  <si>
    <t>14W025NCFRW</t>
  </si>
  <si>
    <t>PLATINUM .045 SOFT ROUND WIRE</t>
  </si>
  <si>
    <t>PT045RSW</t>
  </si>
  <si>
    <t>CJ39ND91</t>
  </si>
  <si>
    <t>PT045RSW.jpg</t>
  </si>
  <si>
    <t>10KT WHITE 018 ROUND HARD WIRE</t>
  </si>
  <si>
    <t>10W018RHW</t>
  </si>
  <si>
    <t>FRK35UWX</t>
  </si>
  <si>
    <t>10KY .115 SOFT ROUND WIRE</t>
  </si>
  <si>
    <t>10Y115RSW</t>
  </si>
  <si>
    <t>EPDFRC0J</t>
  </si>
  <si>
    <t>10Y115RSW.jpg</t>
  </si>
  <si>
    <t>18KP 2.5MM HALF-ROUND WIRE</t>
  </si>
  <si>
    <t>18P2.5HRW</t>
  </si>
  <si>
    <t>K63DX62H</t>
  </si>
  <si>
    <t>10KY .060 HARD ROUND WIRE</t>
  </si>
  <si>
    <t>10Y060RHW</t>
  </si>
  <si>
    <t>98JN3L02</t>
  </si>
  <si>
    <t>10Y060RHW.jpg</t>
  </si>
  <si>
    <t>S/S .800 SOFT ROUND WIRE</t>
  </si>
  <si>
    <t>SS800RSW</t>
  </si>
  <si>
    <t>R5MUVAJK</t>
  </si>
  <si>
    <t>SS800RSW.jpg</t>
  </si>
  <si>
    <t>14KW .120 SOFT ROUND WIRE</t>
  </si>
  <si>
    <t>14W120RSW</t>
  </si>
  <si>
    <t>J4Q3EVR4</t>
  </si>
  <si>
    <t>14W120RSW.jpg</t>
  </si>
  <si>
    <t>10KY .035 HARD ROUND WIRE</t>
  </si>
  <si>
    <t>10Y035RHW</t>
  </si>
  <si>
    <t>2Z7C8VXW</t>
  </si>
  <si>
    <t>10Y035RHW.jpg</t>
  </si>
  <si>
    <t>14KW .090 SQUARE WIRE</t>
  </si>
  <si>
    <t>14W090SQW</t>
  </si>
  <si>
    <t>5Q1HTPPJ</t>
  </si>
  <si>
    <t>14W090SQW.jpg</t>
  </si>
  <si>
    <t>10KY .080 HARD ROUND WIRE</t>
  </si>
  <si>
    <t>10Y080RHW</t>
  </si>
  <si>
    <t>ZJX4LYU7</t>
  </si>
  <si>
    <t>10Y080RHW.jpg</t>
  </si>
  <si>
    <t>14KY .056 CHANNEL WIRE</t>
  </si>
  <si>
    <t>14Y056CW</t>
  </si>
  <si>
    <t>FF1MCLLQ</t>
  </si>
  <si>
    <t>14Y056CW.jpg</t>
  </si>
  <si>
    <t>S/S .640 SOFT ROUND WIRE</t>
  </si>
  <si>
    <t>SS640RSW</t>
  </si>
  <si>
    <t>V5MM4MVN</t>
  </si>
  <si>
    <t>SS640RSW.jpg</t>
  </si>
  <si>
    <t>10KY .070 SOFT ROUND WIRE</t>
  </si>
  <si>
    <t>10Y070RSW</t>
  </si>
  <si>
    <t>NW896X1A</t>
  </si>
  <si>
    <t>10Y070RSW.jpg</t>
  </si>
  <si>
    <t xml:space="preserve">14KW .090 SOFT ROUND WIRE </t>
  </si>
  <si>
    <t>14W090RSW</t>
  </si>
  <si>
    <t>K61LY8C6</t>
  </si>
  <si>
    <t>14W090RSW.jpg</t>
  </si>
  <si>
    <t>10KY .050 SOFT ROUND WIRE</t>
  </si>
  <si>
    <t>10Y050RSW</t>
  </si>
  <si>
    <t>KPW37TLT</t>
  </si>
  <si>
    <t>10Y050RSW.jpg</t>
  </si>
  <si>
    <t>BRASS ROUND WIRE 078</t>
  </si>
  <si>
    <t>BRO-078</t>
  </si>
  <si>
    <t>VRAJ0CDM</t>
  </si>
  <si>
    <t>10KY .015 HARD ROUND WIRE</t>
  </si>
  <si>
    <t>10Y015RHW</t>
  </si>
  <si>
    <t>U6RFTTWN</t>
  </si>
  <si>
    <t>10Y015RHW.jpg</t>
  </si>
  <si>
    <t>18Y3HRW</t>
  </si>
  <si>
    <t>EA71QXWE</t>
  </si>
  <si>
    <t>18KY 4.0MM HALF-ROUND WIRE</t>
  </si>
  <si>
    <t>18Y4.0HRW</t>
  </si>
  <si>
    <t>RA7H5L7T</t>
  </si>
  <si>
    <t>18Y4.0HRW.jpg</t>
  </si>
  <si>
    <t xml:space="preserve">14KW .070 HARD ROUND WIRE </t>
  </si>
  <si>
    <t>14W070RHW</t>
  </si>
  <si>
    <t>PH3QDXQR</t>
  </si>
  <si>
    <t>14W070RHW.jpg</t>
  </si>
  <si>
    <t>S/S 3/4" X .040 FLAT WIRE</t>
  </si>
  <si>
    <t>SS3/4-040FW</t>
  </si>
  <si>
    <t>8LH3VMHY</t>
  </si>
  <si>
    <t>SS3-4-040FW.jpg</t>
  </si>
  <si>
    <t>10KY .090 SOFT ROUND WIRE</t>
  </si>
  <si>
    <t>10Y090RSW</t>
  </si>
  <si>
    <t>LNLPKMXM</t>
  </si>
  <si>
    <t>10Y090RSW.jpg</t>
  </si>
  <si>
    <t>10KY .090 HARD ROUND WIRE</t>
  </si>
  <si>
    <t>10Y090RHW</t>
  </si>
  <si>
    <t>AVZ95QUC</t>
  </si>
  <si>
    <t>10Y090RHW.jpg</t>
  </si>
  <si>
    <t>22KY .090 SOFT ROUND WIRE</t>
  </si>
  <si>
    <t>22Y090RSW</t>
  </si>
  <si>
    <t>ENE1J3U5</t>
  </si>
  <si>
    <t>22Y090RSW.jpg</t>
  </si>
  <si>
    <t>14KP 6.0MM HALF-ROUND WIRE</t>
  </si>
  <si>
    <t>14P6.0HRW</t>
  </si>
  <si>
    <t>61JZKJH3</t>
  </si>
  <si>
    <t>14P6.0HRW.jpg</t>
  </si>
  <si>
    <t>PLATINUM 3.0MM HALF-ROUND WIRE</t>
  </si>
  <si>
    <t>PT3.0HRW</t>
  </si>
  <si>
    <t>Q4NKJY8N</t>
  </si>
  <si>
    <t>PT3.0HRW.jpg</t>
  </si>
  <si>
    <t>22KY .115 SOFT ROUND WIRE</t>
  </si>
  <si>
    <t>22Y115RSW</t>
  </si>
  <si>
    <t>0636CTQ3</t>
  </si>
  <si>
    <t>22Y115RSW.jpg</t>
  </si>
  <si>
    <t>PT 3MM X 2MM FLAT WIRE</t>
  </si>
  <si>
    <t>G/F .070 ROUND HARD WIRE</t>
  </si>
  <si>
    <t>GF070RHW</t>
  </si>
  <si>
    <t>LRHH2WXY</t>
  </si>
  <si>
    <t>GF070RHW.jpg</t>
  </si>
  <si>
    <t xml:space="preserve">14KY .125 HARD ROUND WIRE </t>
  </si>
  <si>
    <t>14Y125RHW</t>
  </si>
  <si>
    <t>S/S .045 HARD ROUND WIRE</t>
  </si>
  <si>
    <t>SS045RHW</t>
  </si>
  <si>
    <t>8ZQ4LXFQ</t>
  </si>
  <si>
    <t>SS045RSW_220921-144703.jpg</t>
  </si>
  <si>
    <t>18KW .070 SOFT ROUND WIRE</t>
  </si>
  <si>
    <t>18W070RSW</t>
  </si>
  <si>
    <t>NT4C983P</t>
  </si>
  <si>
    <t xml:space="preserve">14KY .090 SOFT ROUND WIRE </t>
  </si>
  <si>
    <t>14Y090RSW</t>
  </si>
  <si>
    <t>M7X4RA89</t>
  </si>
  <si>
    <t>14Y090RSW.jpg</t>
  </si>
  <si>
    <t>G/F .070 ROUND SOFT WIRE</t>
  </si>
  <si>
    <t>GF070RSW</t>
  </si>
  <si>
    <t>13MAJQ2J</t>
  </si>
  <si>
    <t>GF070RSW.jpg</t>
  </si>
  <si>
    <t>S/S .060 SQUARE WIRE</t>
  </si>
  <si>
    <t>SS060SQW</t>
  </si>
  <si>
    <t>TQH1Z903</t>
  </si>
  <si>
    <t>SS6.0HRW_160629-094602_180207-142458_180502-150828_191004-142509_191218-143454_231218-152803.jpg</t>
  </si>
  <si>
    <t>18KP .018 SOFT ROUND WIRE</t>
  </si>
  <si>
    <t>18P018RSW</t>
  </si>
  <si>
    <t>8PY6AYVQ</t>
  </si>
  <si>
    <t>18P018RSW.jpg</t>
  </si>
  <si>
    <t>PT100SQW</t>
  </si>
  <si>
    <t xml:space="preserve">14KY .200 SOFT ROUND WIRE </t>
  </si>
  <si>
    <t>14Y200RSW</t>
  </si>
  <si>
    <t>H8TY0WA1</t>
  </si>
  <si>
    <t>14Y200RSW.jpg</t>
  </si>
  <si>
    <t>14KY .015 HARD ROUND WIRE</t>
  </si>
  <si>
    <t>14Y015RHW</t>
  </si>
  <si>
    <t>Q51CJWVM</t>
  </si>
  <si>
    <t>14Y015RHW.jpg</t>
  </si>
  <si>
    <t>10KY .200 SOFT ROUND WIRE</t>
  </si>
  <si>
    <t>10Y200RSW</t>
  </si>
  <si>
    <t>1349CRMR</t>
  </si>
  <si>
    <t>10Y200RSW.jpg</t>
  </si>
  <si>
    <t>G/F PINK .060 ROUND SOFT WIRE</t>
  </si>
  <si>
    <t>GFP060RSW</t>
  </si>
  <si>
    <t>WDNRNJ5Y</t>
  </si>
  <si>
    <t>GF060RSW.jpg</t>
  </si>
  <si>
    <t>18KY .160 SQUARE WIRE</t>
  </si>
  <si>
    <t>18Y160SQW</t>
  </si>
  <si>
    <t>723D4C8Q</t>
  </si>
  <si>
    <t>18Y160SQW.jpg</t>
  </si>
  <si>
    <t>18KY .025 PINTONG WIRE</t>
  </si>
  <si>
    <t>18Y025PTW</t>
  </si>
  <si>
    <t>18KW 6.0MM HALF-ROUND WIRE</t>
  </si>
  <si>
    <t>18W6.0HRW</t>
  </si>
  <si>
    <t>CTHNCWHP</t>
  </si>
  <si>
    <t>18W6.0HRW.jpg</t>
  </si>
  <si>
    <t>S/S .052 CHANNEL WIRE</t>
  </si>
  <si>
    <t>SS52CW</t>
  </si>
  <si>
    <t>J0LL0FYH</t>
  </si>
  <si>
    <t>SS52CW.jpg</t>
  </si>
  <si>
    <t>18KWPD 2.5MM HALF ROUND WIRE</t>
  </si>
  <si>
    <t>18KWPD2.5HRW</t>
  </si>
  <si>
    <t>KTRQ4NKN</t>
  </si>
  <si>
    <t>18KY .090 SOFT ROUND WIRE</t>
  </si>
  <si>
    <t>18Y090RSW</t>
  </si>
  <si>
    <t>2M8E1E4Z</t>
  </si>
  <si>
    <t>18Y090RSW.jpg</t>
  </si>
  <si>
    <t>S/S 1.5MM BEADED WIRE</t>
  </si>
  <si>
    <t>SS1.5BDW</t>
  </si>
  <si>
    <t>ZQRDHXR4</t>
  </si>
  <si>
    <t>1.5MMBALLCH_170127-163042_170524-144349_180807-180708_190128-185346_210601-144831.jpg</t>
  </si>
  <si>
    <t>PT040RHW</t>
  </si>
  <si>
    <t>S/S .100 SQUARE WIRE</t>
  </si>
  <si>
    <t>SS100SQW</t>
  </si>
  <si>
    <t>E15A0M08</t>
  </si>
  <si>
    <t>SS100SQW.jpg</t>
  </si>
  <si>
    <t>LYUHQRNT</t>
  </si>
  <si>
    <t>14P125RSW_160927-133359.jpg</t>
  </si>
  <si>
    <t>PLATINUM.090 SOFT ROUND WIRE</t>
  </si>
  <si>
    <t>PT090RSW</t>
  </si>
  <si>
    <t>89N647RZ</t>
  </si>
  <si>
    <t>PT090RSW.jpg</t>
  </si>
  <si>
    <t>PLATINUM 5MM X 3MM FLAT WIRE</t>
  </si>
  <si>
    <t>PT5X3FW</t>
  </si>
  <si>
    <t>61H1Z5T6</t>
  </si>
  <si>
    <t>10KY .020 HARD ROUND WIRE</t>
  </si>
  <si>
    <t>10Y020RHW</t>
  </si>
  <si>
    <t>N9R12V3E</t>
  </si>
  <si>
    <t>10Y020RHW.jpg</t>
  </si>
  <si>
    <t>HANDY &amp; HARMAN</t>
  </si>
  <si>
    <t>STERLING SILVER .925 WIRE</t>
  </si>
  <si>
    <t>SS2160RSW</t>
  </si>
  <si>
    <t>TK8DNE7N</t>
  </si>
  <si>
    <t>SS2160RSW.jpg</t>
  </si>
  <si>
    <t>18KP .160 SOFT ROUND WIRE</t>
  </si>
  <si>
    <t>18P160RSW</t>
  </si>
  <si>
    <t>T3C559UY</t>
  </si>
  <si>
    <t>10KY .125 SOFT ROUND WIRE</t>
  </si>
  <si>
    <t>10Y125RSW</t>
  </si>
  <si>
    <t>14KP .090 SOFT ROUND WIRE</t>
  </si>
  <si>
    <t>14P090RSW</t>
  </si>
  <si>
    <t>8T0DXX3J</t>
  </si>
  <si>
    <t>14P090RSW.jpg</t>
  </si>
  <si>
    <t>10KY .035 SOFT ROUND WIRE</t>
  </si>
  <si>
    <t>10Y035RSW</t>
  </si>
  <si>
    <t>X26Z5T1V</t>
  </si>
  <si>
    <t>10Y035RSW.jpg</t>
  </si>
  <si>
    <t>S/S .300 SQUARE WIRE</t>
  </si>
  <si>
    <t>SS300SQW</t>
  </si>
  <si>
    <t>C03PV2WY</t>
  </si>
  <si>
    <t>SS300SQW.jpg</t>
  </si>
  <si>
    <t xml:space="preserve">18KP FLAT BEZEL WIRE
</t>
  </si>
  <si>
    <t>18PFBW</t>
  </si>
  <si>
    <t>KT0U079K</t>
  </si>
  <si>
    <t>18KW PALLADIUM .030 ROUND WIRE</t>
  </si>
  <si>
    <t>18WPD030RW</t>
  </si>
  <si>
    <t>24AM4X2A</t>
  </si>
  <si>
    <t>18W030RSW_211001-162637.jpg</t>
  </si>
  <si>
    <t>14KWPD040RSW</t>
  </si>
  <si>
    <t>W5AYKLN2</t>
  </si>
  <si>
    <t>14KG 6.0MM HALF-ROUND WIRE</t>
  </si>
  <si>
    <t>14G6.0HRW</t>
  </si>
  <si>
    <t>X9YJEDT1</t>
  </si>
  <si>
    <t>14G6.0HRW.jpg</t>
  </si>
  <si>
    <t>18KP 2.5MM X 1.25MM FLAT WIRE</t>
  </si>
  <si>
    <t>18P2.5X1.25FW</t>
  </si>
  <si>
    <t>FUFPQNK0</t>
  </si>
  <si>
    <t>10KY .045 SOFT ROUND WIRE</t>
  </si>
  <si>
    <t>10Y045RSW</t>
  </si>
  <si>
    <t>9YHX0EXV</t>
  </si>
  <si>
    <t>10Y045RSW.jpg</t>
  </si>
  <si>
    <t>10KY .160 SOFT ROUND WIRE</t>
  </si>
  <si>
    <t>10Y160RSW</t>
  </si>
  <si>
    <t>7FZXPDC1</t>
  </si>
  <si>
    <t>10Y160RSW.jpg</t>
  </si>
  <si>
    <t>S/S .020 ROUND SOFT WIRE</t>
  </si>
  <si>
    <t>SS020RSW</t>
  </si>
  <si>
    <t>XV7AXH7P</t>
  </si>
  <si>
    <t>14KY .040 HARD ROUND WIRE</t>
  </si>
  <si>
    <t>14Y040RHW</t>
  </si>
  <si>
    <t>PLATINUM .120 SOFT ROUND WIRE</t>
  </si>
  <si>
    <t>PT120RSW</t>
  </si>
  <si>
    <t>M7WA9HPH</t>
  </si>
  <si>
    <t>PT120RSW.jpg</t>
  </si>
  <si>
    <t>14KY .022 SOFT ROUND WIRE</t>
  </si>
  <si>
    <t>14Y022RSW</t>
  </si>
  <si>
    <t>EKMAMW9L</t>
  </si>
  <si>
    <t>14Y022RSW.jpg</t>
  </si>
  <si>
    <t xml:space="preserve">14KY .090 HARD ROUND WIRE </t>
  </si>
  <si>
    <t>14Y090RHW</t>
  </si>
  <si>
    <t>2WWNADXE</t>
  </si>
  <si>
    <t>14Y090RHW.jpg</t>
  </si>
  <si>
    <t>18KY .150 SOFT ROUND WIRE</t>
  </si>
  <si>
    <t>18Y150RSW</t>
  </si>
  <si>
    <t>W1KEVL4A</t>
  </si>
  <si>
    <t>18Y150RSW.jpg</t>
  </si>
  <si>
    <t>14KY .090 SQUARE WIRE</t>
  </si>
  <si>
    <t>14Y090SQW</t>
  </si>
  <si>
    <t>JMKJQWYA</t>
  </si>
  <si>
    <t>14Y090SQW.jpg</t>
  </si>
  <si>
    <t xml:space="preserve">COPPER 187 ROUND SOFT WIRE </t>
  </si>
  <si>
    <t>COPPER</t>
  </si>
  <si>
    <t>PE587T01</t>
  </si>
  <si>
    <t>14KG 5.0MM HALF-ROUND WIRE</t>
  </si>
  <si>
    <t>14G5.0HRW</t>
  </si>
  <si>
    <t>37TJMRQ7</t>
  </si>
  <si>
    <t>14G5.0HRW.jpg</t>
  </si>
  <si>
    <t>18KP .025 PINTONG WIRE</t>
  </si>
  <si>
    <t>18P025PTW</t>
  </si>
  <si>
    <t>KHUTAZ14</t>
  </si>
  <si>
    <t>18P025PTW.jpg</t>
  </si>
  <si>
    <t>S/S .060 CHANNEL WIRE</t>
  </si>
  <si>
    <t>SS60CW</t>
  </si>
  <si>
    <t>10DJAUC8</t>
  </si>
  <si>
    <t>SS60CW.jpg</t>
  </si>
  <si>
    <t xml:space="preserve">14KY .070 HARD ROUND WIRE </t>
  </si>
  <si>
    <t>14Y070RHW</t>
  </si>
  <si>
    <t>PT018RSW</t>
  </si>
  <si>
    <t>S/S .625 SOFT ROUND WIRE</t>
  </si>
  <si>
    <t>SS625RSW</t>
  </si>
  <si>
    <t>DH2KLPV3</t>
  </si>
  <si>
    <t>SS625RSW.jpg</t>
  </si>
  <si>
    <t>14KG .018 SOFT ROUND WIRE</t>
  </si>
  <si>
    <t>14G018RSW</t>
  </si>
  <si>
    <t>F3T8W2W9</t>
  </si>
  <si>
    <t>14G018RSW.jpg</t>
  </si>
  <si>
    <t>10KY .030 HARD ROUND WIRE</t>
  </si>
  <si>
    <t>10Y030RHW</t>
  </si>
  <si>
    <t>44AV581M</t>
  </si>
  <si>
    <t>10Y030RHW.jpg</t>
  </si>
  <si>
    <t>18KW PALLADIUM 160 RSW</t>
  </si>
  <si>
    <t>18WPD160RSW</t>
  </si>
  <si>
    <t>QK3PNRUF</t>
  </si>
  <si>
    <t>14KY .250 SOFT ROUND WIRE</t>
  </si>
  <si>
    <t>14Y250RSW</t>
  </si>
  <si>
    <t>A1X3M8NQ</t>
  </si>
  <si>
    <t>XTD4PCJ7</t>
  </si>
  <si>
    <t>18Y060RSW.jpg</t>
  </si>
  <si>
    <t>22KY  .070 SOFT ROUND WIRE</t>
  </si>
  <si>
    <t>22Y070RSW</t>
  </si>
  <si>
    <t>RNE1Q7YR</t>
  </si>
  <si>
    <t>22Y070RSW.jpg</t>
  </si>
  <si>
    <t>18KW .018 SOFT ROUND WIRE</t>
  </si>
  <si>
    <t>18W018RSW</t>
  </si>
  <si>
    <t>PTYAR9NJ</t>
  </si>
  <si>
    <t>18W018RSW.jpg</t>
  </si>
  <si>
    <t>7D7087M0</t>
  </si>
  <si>
    <t>10K125RSW.jpg</t>
  </si>
  <si>
    <t>G/F .045 ROUND SOFT WIRE</t>
  </si>
  <si>
    <t>GF045RSW</t>
  </si>
  <si>
    <t>TY1KXR3L</t>
  </si>
  <si>
    <t>GF045RSW.jpg</t>
  </si>
  <si>
    <t>14KG 4X2MM HALF-ROUND WIRE</t>
  </si>
  <si>
    <t>14G4.0HRW</t>
  </si>
  <si>
    <t>1PPXU4YJ</t>
  </si>
  <si>
    <t>14G4.0HRW.jpg</t>
  </si>
  <si>
    <t xml:space="preserve">18KW PALLADIUM RSW </t>
  </si>
  <si>
    <t>18W160RSW</t>
  </si>
  <si>
    <t>ZP265UH4</t>
  </si>
  <si>
    <t>BRASS ROUND WIRE HALF HARD 156</t>
  </si>
  <si>
    <t>BRO-156RW</t>
  </si>
  <si>
    <t>R0TE4V40</t>
  </si>
  <si>
    <t>18KW .200 SOFT ROUND WIRE</t>
  </si>
  <si>
    <t>18W200RSW</t>
  </si>
  <si>
    <t>5QQKJ8Q8</t>
  </si>
  <si>
    <t>18W200RSW.jpg</t>
  </si>
  <si>
    <t xml:space="preserve">14KW .250 SOFT ROUND WIRE </t>
  </si>
  <si>
    <t>14W250RSW</t>
  </si>
  <si>
    <t>NF4HE1LA</t>
  </si>
  <si>
    <t>14W250RSW.jpg</t>
  </si>
  <si>
    <t>10KY .120 SOFT ROUND WIRE</t>
  </si>
  <si>
    <t>10Y120RSW</t>
  </si>
  <si>
    <t>VHMRDCKE</t>
  </si>
  <si>
    <t>10Y120RSW.jpg</t>
  </si>
  <si>
    <t>14KG. 015 SOFT ROUND WIRE</t>
  </si>
  <si>
    <t>14G015RSW</t>
  </si>
  <si>
    <t>00WXU4AY</t>
  </si>
  <si>
    <t>14G015RSW.jpg</t>
  </si>
  <si>
    <t>14KY .025 SQUARE WIRE (.625 X .625)</t>
  </si>
  <si>
    <t>14Y025SQW</t>
  </si>
  <si>
    <t>KU9J69E3</t>
  </si>
  <si>
    <t>14W4MMBW.jpg</t>
  </si>
  <si>
    <t>18KW .026 1/4 HARD ROUND WIRE</t>
  </si>
  <si>
    <t>18W026RHW</t>
  </si>
  <si>
    <t>J238RMZP</t>
  </si>
  <si>
    <t>18W026RHW.jpg</t>
  </si>
  <si>
    <t>22KY .018 SOFT ROUND WIRE</t>
  </si>
  <si>
    <t>22Y018RSW</t>
  </si>
  <si>
    <t>HUXNYMCZ</t>
  </si>
  <si>
    <t>22Y018RSW.jpg</t>
  </si>
  <si>
    <t>18KW 4.5MM X .4MM FLAT WIRE</t>
  </si>
  <si>
    <t>18W4.5X.4FW</t>
  </si>
  <si>
    <t>ARN2NLR7</t>
  </si>
  <si>
    <t xml:space="preserve">14KW .200 SOFT ROUND WIRE </t>
  </si>
  <si>
    <t>14W200RSW</t>
  </si>
  <si>
    <t>KXRVKDTU</t>
  </si>
  <si>
    <t>14W200RSW.jpg</t>
  </si>
  <si>
    <t>PLATINUM .115 SOFT ROUND WIRE</t>
  </si>
  <si>
    <t>PT115RSW</t>
  </si>
  <si>
    <t>UM799Y50</t>
  </si>
  <si>
    <t>PT115RSW.jpg</t>
  </si>
  <si>
    <t>14KW PALLADIUM 040 ROUND SOFT WIRE</t>
  </si>
  <si>
    <t>22KY .040 SQUARE WIRE</t>
  </si>
  <si>
    <t>22Y040SQW</t>
  </si>
  <si>
    <t>5YJN38CF</t>
  </si>
  <si>
    <t>22Y040SQW.jpg</t>
  </si>
  <si>
    <t xml:space="preserve">18KY FLAT BEZEL WIRE
</t>
  </si>
  <si>
    <t>18YFBW</t>
  </si>
  <si>
    <t>VH96W0XH</t>
  </si>
  <si>
    <t>10KY .125 HARD ROUND WIRE</t>
  </si>
  <si>
    <t>10Y125RHW</t>
  </si>
  <si>
    <t>4EEEDLTH</t>
  </si>
  <si>
    <t>10Y125RHW.jpg</t>
  </si>
  <si>
    <t>14KW .018 HARD ROUND WIRE</t>
  </si>
  <si>
    <t>14W018RHW</t>
  </si>
  <si>
    <t>4MULY4TN</t>
  </si>
  <si>
    <t>14W018RHW.jpg</t>
  </si>
  <si>
    <t>10KY .025 PINTONG WIRE</t>
  </si>
  <si>
    <t>10Y025PTW</t>
  </si>
  <si>
    <t>18KY .045 SPRING HARD 1FT LENGTH</t>
  </si>
  <si>
    <t>18Y045PTW</t>
  </si>
  <si>
    <t>9UNTYHDP</t>
  </si>
  <si>
    <t>18Y045PTW.jpg</t>
  </si>
  <si>
    <t>18KW 3.0MM HALF-ROUND WIRE</t>
  </si>
  <si>
    <t>18W3.0HRW</t>
  </si>
  <si>
    <t>C7YY01AY</t>
  </si>
  <si>
    <t>18W3.0HRW.jpg</t>
  </si>
  <si>
    <t>S/S .086 CHANNEL WIRE</t>
  </si>
  <si>
    <t>SS86CW</t>
  </si>
  <si>
    <t>EE00WKR0</t>
  </si>
  <si>
    <t>SS86CW.jpg</t>
  </si>
  <si>
    <t>14KW 5.0MM HALF-ROUND WIRE</t>
  </si>
  <si>
    <t>14W5.0HRW</t>
  </si>
  <si>
    <t>J266UFTE</t>
  </si>
  <si>
    <t>14W5.0HRW.jpg</t>
  </si>
  <si>
    <t>14KW .052 CHANNEL WIRE</t>
  </si>
  <si>
    <t>14W052CW</t>
  </si>
  <si>
    <t>MXH9TDF8</t>
  </si>
  <si>
    <t>14W052CW.jpg</t>
  </si>
  <si>
    <t>14KP 5.0MM HALF-ROUND WIRE</t>
  </si>
  <si>
    <t>14P5.0HRW</t>
  </si>
  <si>
    <t>W6RQCXFL</t>
  </si>
  <si>
    <t>14P5.0HRW.jpg</t>
  </si>
  <si>
    <t>14KY .115 ROUND SOFT WIRE</t>
  </si>
  <si>
    <t>14Y115RSW</t>
  </si>
  <si>
    <t>87N4FENX</t>
  </si>
  <si>
    <t>14Y115RSW.jpg</t>
  </si>
  <si>
    <t>18KY 5MM HALF-ROUND WIRE</t>
  </si>
  <si>
    <t>18Y5HRW</t>
  </si>
  <si>
    <t>HNCCZR4V</t>
  </si>
  <si>
    <t>COPPER187RSW</t>
  </si>
  <si>
    <t>YL4LF484</t>
  </si>
  <si>
    <t>18KY 6.0MM HALF-ROUND WIRE</t>
  </si>
  <si>
    <t>18Y6.0HRW</t>
  </si>
  <si>
    <t>LKMC71NM</t>
  </si>
  <si>
    <t>18Y6.0HRW.jpg</t>
  </si>
  <si>
    <t>14KY .100 ROUND HARD WIRE</t>
  </si>
  <si>
    <t>14Y100RHW</t>
  </si>
  <si>
    <t>8HVZLFKD</t>
  </si>
  <si>
    <t>14Y100RHW.jpg</t>
  </si>
  <si>
    <t>22KY .120 SOFT ROUND WIRE</t>
  </si>
  <si>
    <t>22Y120RSW</t>
  </si>
  <si>
    <t>DT4KN7HD</t>
  </si>
  <si>
    <t>22Y120RSW.jpg</t>
  </si>
  <si>
    <t>BRASS ROUND WIRE - 10 GAUGE
3 FEET LENGTH FOR - 3.25</t>
  </si>
  <si>
    <t>BR100RSW</t>
  </si>
  <si>
    <t>1D6T6LRF</t>
  </si>
  <si>
    <t>14KW .090 HARD ROUND WIRE</t>
  </si>
  <si>
    <t>14W090RHW</t>
  </si>
  <si>
    <t>TYPWCXJC</t>
  </si>
  <si>
    <t>14W090RHW.jpg</t>
  </si>
  <si>
    <t>18KG .018 SOFT ROUND WIRE</t>
  </si>
  <si>
    <t>18G018RSW</t>
  </si>
  <si>
    <t>8P7PZZWJ</t>
  </si>
  <si>
    <t>18G018RSW.jpg</t>
  </si>
  <si>
    <t>22KY .045 SOFT ROUND WIRE</t>
  </si>
  <si>
    <t>22Y045RSW</t>
  </si>
  <si>
    <t>XHV9ZHCP</t>
  </si>
  <si>
    <t>22Y045RSW.jpg</t>
  </si>
  <si>
    <t>18Y080SQW</t>
  </si>
  <si>
    <t>DTQV22EC</t>
  </si>
  <si>
    <t>18W100SQW_200303-183625.jpg</t>
  </si>
  <si>
    <t>18KG .030 PINTONG WIRE</t>
  </si>
  <si>
    <t>18G030PTW</t>
  </si>
  <si>
    <t>C3VE1L1X</t>
  </si>
  <si>
    <t>18G030PTW.jpg</t>
  </si>
  <si>
    <t>14KW .125 WHITE SQUARE WIRE</t>
  </si>
  <si>
    <t>14W125SQW</t>
  </si>
  <si>
    <t>0W3WHY0F</t>
  </si>
  <si>
    <t>14W125SQW.jpg</t>
  </si>
  <si>
    <t>10KY .070 HARD ROUND WIRE</t>
  </si>
  <si>
    <t>10Y070RHW</t>
  </si>
  <si>
    <t>QWY6RY2D</t>
  </si>
  <si>
    <t>10Y070RHW.jpg</t>
  </si>
  <si>
    <t>18KW .020 PINTONG WIRE</t>
  </si>
  <si>
    <t>18W020PTW</t>
  </si>
  <si>
    <t>54LV0CRM</t>
  </si>
  <si>
    <t>18W020PTW.jpg</t>
  </si>
  <si>
    <t>18KY .200 SOFT ROUND WIRE</t>
  </si>
  <si>
    <t>18Y200RSW</t>
  </si>
  <si>
    <t>0UXM71TA</t>
  </si>
  <si>
    <t>18Y200RSW.jpg</t>
  </si>
  <si>
    <t>S/S 3.0MM BEADED WIRE</t>
  </si>
  <si>
    <t>SS3.0BDW</t>
  </si>
  <si>
    <t>FHNVCTUK</t>
  </si>
  <si>
    <t>Screenshot2011-02-24at3.07.58PM_170719-132105_171108-193614.png</t>
  </si>
  <si>
    <t>S/S .072 CHANNEL WIRE</t>
  </si>
  <si>
    <t>SS72CW</t>
  </si>
  <si>
    <t>9UWV1X5C</t>
  </si>
  <si>
    <t>SS72CW.jpg</t>
  </si>
  <si>
    <t xml:space="preserve">14KW .160 HARD ROUND WIRE </t>
  </si>
  <si>
    <t>14W160RHW</t>
  </si>
  <si>
    <t>X9N2FX0Q</t>
  </si>
  <si>
    <t>14W160RHW.jpg</t>
  </si>
  <si>
    <t>S/S 4MM HALF ROUND WIRE</t>
  </si>
  <si>
    <t>SS4.0HRW</t>
  </si>
  <si>
    <t>18KY .5MM ALF-ROUND WIRE</t>
  </si>
  <si>
    <t>18KY0.5HRW</t>
  </si>
  <si>
    <t>JZQAA11F</t>
  </si>
  <si>
    <t>18KY0.5HRW.jpg</t>
  </si>
  <si>
    <t>PLATINUM .070 SOFT ROUND WIRE</t>
  </si>
  <si>
    <t>PT070RSW</t>
  </si>
  <si>
    <t>M22MHY08</t>
  </si>
  <si>
    <t>PT070RSW.jpg</t>
  </si>
  <si>
    <t>18Y3MMBZW</t>
  </si>
  <si>
    <t>Y5K5P0CW</t>
  </si>
  <si>
    <t>18Y3MMBZW.jpg</t>
  </si>
  <si>
    <t>GFP040RSW</t>
  </si>
  <si>
    <t>XWVE38FC</t>
  </si>
  <si>
    <t>18W070RSW_180525-150447.jpg</t>
  </si>
  <si>
    <t>S/S .045 CHANNEL WIRE (PATTERN #4414)</t>
  </si>
  <si>
    <t>SS45CW</t>
  </si>
  <si>
    <t>WF2F1XJ4</t>
  </si>
  <si>
    <t>SS45CW.jpg</t>
  </si>
  <si>
    <t>EJ6YMNWN</t>
  </si>
  <si>
    <t xml:space="preserve">14KW .115 SOFT ROUND WIRE </t>
  </si>
  <si>
    <t>14W115RSW</t>
  </si>
  <si>
    <t>P8FXW98X</t>
  </si>
  <si>
    <t>14W115RSW.jpg</t>
  </si>
  <si>
    <t>18KG .060 SOFT ROUND WIRE</t>
  </si>
  <si>
    <t>22KY .022 RD SOFT WIRE</t>
  </si>
  <si>
    <t>22Y022RSW</t>
  </si>
  <si>
    <t>6EDRTUDM</t>
  </si>
  <si>
    <t>22Y022RSW.jpg</t>
  </si>
  <si>
    <t>18KW 5MM HALF-ROUND WIRE</t>
  </si>
  <si>
    <t>18W5HRW</t>
  </si>
  <si>
    <t>VQX4XXXW</t>
  </si>
  <si>
    <t>18KW .021 1/4 HARD ROUND WIRE</t>
  </si>
  <si>
    <t>18W021RHW</t>
  </si>
  <si>
    <t>FRZATH17</t>
  </si>
  <si>
    <t>18W021RHW.jpg</t>
  </si>
  <si>
    <t>AHWEEV41</t>
  </si>
  <si>
    <t>10KY .250 SOFT ROUND WIRE</t>
  </si>
  <si>
    <t>10Y250RSW</t>
  </si>
  <si>
    <t>L445EPEF</t>
  </si>
  <si>
    <t>10Y250RSW.jpg</t>
  </si>
  <si>
    <t>14KW 6.0MM HALF-ROUND WIRE</t>
  </si>
  <si>
    <t>14W6.0HRW</t>
  </si>
  <si>
    <t>RNJTVAZY</t>
  </si>
  <si>
    <t>14W6.0HRW.jpg</t>
  </si>
  <si>
    <t>18KY .25MM x .040 FLAT WIRE</t>
  </si>
  <si>
    <t>18Y.25x.040FW</t>
  </si>
  <si>
    <t>Y564RHDQ</t>
  </si>
  <si>
    <t xml:space="preserve">14KW .060 HARD ROUND WIRE </t>
  </si>
  <si>
    <t>14W060RHW</t>
  </si>
  <si>
    <t>18KW .086 CHANNEL WIRE</t>
  </si>
  <si>
    <t>18W086CW</t>
  </si>
  <si>
    <t>6MUDLRZW</t>
  </si>
  <si>
    <t>18W086CW.jpg</t>
  </si>
  <si>
    <t>PLATINUM .012 SOFT ROUND WIRE</t>
  </si>
  <si>
    <t>PT012RSW</t>
  </si>
  <si>
    <t>PT012RSW.jpg</t>
  </si>
  <si>
    <t>18KG .025 HARD ROUND WIRE</t>
  </si>
  <si>
    <t>18G025RHW</t>
  </si>
  <si>
    <t>TCUR262V</t>
  </si>
  <si>
    <t>18G025RHW.jpg</t>
  </si>
  <si>
    <t>S/S 5X2MM FLAT WIRE</t>
  </si>
  <si>
    <t>5X2MMFW</t>
  </si>
  <si>
    <t>WAEL6PRY</t>
  </si>
  <si>
    <t>18KW PALLADIUM .020 ROUND WIRE</t>
  </si>
  <si>
    <t>18WPD020RW</t>
  </si>
  <si>
    <t>ACY37FLL</t>
  </si>
  <si>
    <t>18W030RSW_211001-162747.jpg</t>
  </si>
  <si>
    <t xml:space="preserve">14KW .625 X .040 FLAT WIRE </t>
  </si>
  <si>
    <t>14W.625X.040FW</t>
  </si>
  <si>
    <t>N0NMCU74</t>
  </si>
  <si>
    <t>S/S 5MMX2MM FLAT WIRE</t>
  </si>
  <si>
    <t>SS5MMX2MMFW</t>
  </si>
  <si>
    <t>TQ727A2T</t>
  </si>
  <si>
    <t>STERLING SILVER 3MM SOLID TWISTED WIRE</t>
  </si>
  <si>
    <t>SS3MMTW</t>
  </si>
  <si>
    <t>VE91EH2W</t>
  </si>
  <si>
    <t>SS3MMTW.jpg</t>
  </si>
  <si>
    <t xml:space="preserve">S/S .020 SQUARE WIRE </t>
  </si>
  <si>
    <t>SS020SQW</t>
  </si>
  <si>
    <t>8HK07FZ3</t>
  </si>
  <si>
    <t>18KW .080 SQUARE WIRE</t>
  </si>
  <si>
    <t>18W080SQW</t>
  </si>
  <si>
    <t>ZY9741FR</t>
  </si>
  <si>
    <t>18W080SQW.jpg</t>
  </si>
  <si>
    <t>14KP .040 HARD ROUND WIRE</t>
  </si>
  <si>
    <t>14P040RHW</t>
  </si>
  <si>
    <t>9FC5A0RR</t>
  </si>
  <si>
    <t xml:space="preserve">18KW 3MM ROUND WIRE </t>
  </si>
  <si>
    <t>18W120RSW</t>
  </si>
  <si>
    <t>5PXUKXML</t>
  </si>
  <si>
    <t>XDLYMEQE</t>
  </si>
  <si>
    <t>14KG .060 SOFT ROUND WIRE</t>
  </si>
  <si>
    <t>14G060RSW</t>
  </si>
  <si>
    <t>ZHJQX1JQ</t>
  </si>
  <si>
    <t>14G060RSW_180212-203004_240322-131605.jpg</t>
  </si>
  <si>
    <t>18KY .015 SOFT ROUND WIRE</t>
  </si>
  <si>
    <t>18Y015RSW</t>
  </si>
  <si>
    <t>PR00RYPX</t>
  </si>
  <si>
    <t>18Y015RSW_190422-191220_200113-143917_210329-133320_210929-145207_230720-132344.jpg</t>
  </si>
  <si>
    <t>14KG 030 HARD ROUND WIRE</t>
  </si>
  <si>
    <t>14G030RHW</t>
  </si>
  <si>
    <t>RPT1JV5V</t>
  </si>
  <si>
    <t>S/S .080 SOFT ROUND WIRE</t>
  </si>
  <si>
    <t>SS080RSW</t>
  </si>
  <si>
    <t>YEC157AW</t>
  </si>
  <si>
    <t>14KY .020 SOFT ROUND WIRE</t>
  </si>
  <si>
    <t>14Y020RSW</t>
  </si>
  <si>
    <t>MDW537MA</t>
  </si>
  <si>
    <t>14Y020RSW_171120-202017_190412-163255_201014-132222_210211-155353_210401-144852_210621-144615_210826-130407_211025-134147_230208-180004.jpg</t>
  </si>
  <si>
    <t>18KT PINK 030 RD SOFT WIRE</t>
  </si>
  <si>
    <t>18P030RSW</t>
  </si>
  <si>
    <t>0JTVQ4QF</t>
  </si>
  <si>
    <t>PLATINUM 100 SQUARE WIRE
2.5MM</t>
  </si>
  <si>
    <t>TVC2ZULU</t>
  </si>
  <si>
    <t>18KG .072 ROUND WIRE</t>
  </si>
  <si>
    <t>18G072RW</t>
  </si>
  <si>
    <t>3NY0Q48F</t>
  </si>
  <si>
    <t>M66WN2M7</t>
  </si>
  <si>
    <t>SS4.0HRW_170516-145726_190128-192940.jpg</t>
  </si>
  <si>
    <t>S/S .030 ROUND SOFT WIRE</t>
  </si>
  <si>
    <t>SS030RSW</t>
  </si>
  <si>
    <t>P3AQN7JT</t>
  </si>
  <si>
    <t>R9J1ANKQ</t>
  </si>
  <si>
    <t>18W100RSW_161220-145835_170320-143342_210329-145608.jpg</t>
  </si>
  <si>
    <t>PLATINUM .018 ROUND SOFT WIRE</t>
  </si>
  <si>
    <t>UDXW3ZEF</t>
  </si>
  <si>
    <t>EMPCU94K</t>
  </si>
  <si>
    <t>18Y030PTW_160920-134019_161220-144829_180215-143044_180926-140708_190321-131855_200113-145500_210913-133650_220527-182321_240524-152314_241008-191027_250430-174355_251211-194221.jpg</t>
  </si>
  <si>
    <t>14KY .040 ROUND HARD WIRE</t>
  </si>
  <si>
    <t>XJJ9J6TJ</t>
  </si>
  <si>
    <t>S/S 1.5MM X .75MM FLAT WIRE</t>
  </si>
  <si>
    <t>SS1.5X.75FW</t>
  </si>
  <si>
    <t>JJA1P0A3</t>
  </si>
  <si>
    <t>HY2899CX</t>
  </si>
  <si>
    <t>UNITED ENVELOPE LLC.</t>
  </si>
  <si>
    <t>U088NFQ1</t>
  </si>
  <si>
    <t>VHAXR5D7</t>
  </si>
  <si>
    <t>18Y080RSW_160927-132548_181210-144416_220727-160659_220809-185020_230630-161557.jpg</t>
  </si>
  <si>
    <t>14/20 .012 ROUND HARD WIRE</t>
  </si>
  <si>
    <t>GF012RHW</t>
  </si>
  <si>
    <t>PE8UWH2Y</t>
  </si>
  <si>
    <t>18W070RSW_180604-134436_190110-184010_210408-152148.jpg</t>
  </si>
  <si>
    <t>18KG .060 HARD ROUND WIRE</t>
  </si>
  <si>
    <t>FFDHEZ5Y</t>
  </si>
  <si>
    <t>14KW .080 EXTRA HARD ROUND WIRE</t>
  </si>
  <si>
    <t>KZXV1LTD</t>
  </si>
  <si>
    <t>18Y080RHW_161005-141547_161005-141843_180221-193340_180420-133835.jpg</t>
  </si>
  <si>
    <t>14KW 5MM X 1MM FLAT WIRE</t>
  </si>
  <si>
    <t>14W5X1FW</t>
  </si>
  <si>
    <t>AJA0DZ1V</t>
  </si>
  <si>
    <t>18KW PALLADIUM .080 ROUND WIRE</t>
  </si>
  <si>
    <t>18WP080RW</t>
  </si>
  <si>
    <t>2VPVEDT5</t>
  </si>
  <si>
    <t>24KY .015 SOFT ROUND WIRE</t>
  </si>
  <si>
    <t>24Y015RSW</t>
  </si>
  <si>
    <t>A4FPCWRE</t>
  </si>
  <si>
    <t xml:space="preserve">18KY 5MM X .020 BEZEL WIRE </t>
  </si>
  <si>
    <t>18Y5X.020BW</t>
  </si>
  <si>
    <t>N1201MA1</t>
  </si>
  <si>
    <t>NLRKA251</t>
  </si>
  <si>
    <t>14Y125RSW_170421-173022_200120-141542_230620-133725.jpg,14Y125RHW_230620-134112.jpg</t>
  </si>
  <si>
    <t>14KW PALLADIUM .020 ROUND WIRE</t>
  </si>
  <si>
    <t>14WPD020RW</t>
  </si>
  <si>
    <t>FJREN39R</t>
  </si>
  <si>
    <t>18W030RSW_170118-143859_170118-144035_190125-202553_191204-142346_201021-134925_211005-181233_220502-182745.jpg</t>
  </si>
  <si>
    <t>PLATINUM .025 ROUND WIRE</t>
  </si>
  <si>
    <t>PT025RW</t>
  </si>
  <si>
    <t>QNAE3TRH</t>
  </si>
  <si>
    <t>18Y015RHW_161031-145019_161031-145252.jpg</t>
  </si>
  <si>
    <t>3VK6RNDV</t>
  </si>
  <si>
    <t>14Y010RSW_180207-144211_200226-181729_210426-182508_210617-134238_240220-142021_250708-133449.jpg</t>
  </si>
  <si>
    <t>18KW .040 HARD ROUND WIRE</t>
  </si>
  <si>
    <t>18W040RHW</t>
  </si>
  <si>
    <t>18KW 3MM X 2MM FLAT WIRE</t>
  </si>
  <si>
    <t>18W3X2FW</t>
  </si>
  <si>
    <t>KXLU5KM8</t>
  </si>
  <si>
    <t>K2638104</t>
  </si>
  <si>
    <t>18KY .050 EXTRA HARD ROUND WIRE</t>
  </si>
  <si>
    <t>18Y050RXHW</t>
  </si>
  <si>
    <t>T01WPR6X</t>
  </si>
  <si>
    <t>18Y040RSW.jpg</t>
  </si>
  <si>
    <t>18KW 3MM SQUARE WIRE</t>
  </si>
  <si>
    <t>18KW3MMSQW</t>
  </si>
  <si>
    <t>822V8F26</t>
  </si>
  <si>
    <t>14KP .060 CHANNEL WIRE</t>
  </si>
  <si>
    <t>14P060CW</t>
  </si>
  <si>
    <t>CKV7K742</t>
  </si>
  <si>
    <t>22KY .375" X 26GA BEZEL WIRE</t>
  </si>
  <si>
    <t>22Y3/8BZW</t>
  </si>
  <si>
    <t>9CQZ90PV</t>
  </si>
  <si>
    <t>F/S .016 X .025 BEZEL WIRE</t>
  </si>
  <si>
    <t>FS016-.025BZW</t>
  </si>
  <si>
    <t>A32HZD6Y</t>
  </si>
  <si>
    <t>PLATINUM 6MM X 2MM FLAT WIRE</t>
  </si>
  <si>
    <t>PT6X2FW</t>
  </si>
  <si>
    <t>HH8J0C3Z</t>
  </si>
  <si>
    <t>18KY 060 CHANNEL WIRE</t>
  </si>
  <si>
    <t>18Y060CW</t>
  </si>
  <si>
    <t>QNC0VD8C</t>
  </si>
  <si>
    <t>18KW 2MM X 1MM FLAT WIRE</t>
  </si>
  <si>
    <t>18W2X1FW</t>
  </si>
  <si>
    <t>30TEKD3P</t>
  </si>
  <si>
    <t>FLAT WIRE_170421-132521_170421-132919_170601-173637.jpg</t>
  </si>
  <si>
    <t>FHDY31VX</t>
  </si>
  <si>
    <t>14W025RHW_170515-135120_170515-135500.jpg</t>
  </si>
  <si>
    <t>14KW PALLADIUM .018 ROUND WIRE</t>
  </si>
  <si>
    <t>14WPD018RW</t>
  </si>
  <si>
    <t>8W13JXKL</t>
  </si>
  <si>
    <t>18W030RSW_170118-143859_170118-144035_170512-174049_170512-174810.jpg</t>
  </si>
  <si>
    <t>7KL89NFK</t>
  </si>
  <si>
    <t xml:space="preserve">14Y 1.25MM HALF ROUND WIRE </t>
  </si>
  <si>
    <t>14Y1.25MMHRW</t>
  </si>
  <si>
    <t>M4MRUW7Z</t>
  </si>
  <si>
    <t>09P87VWR</t>
  </si>
  <si>
    <t xml:space="preserve">18KW 125MM X 27MM X .020 SHEET
</t>
  </si>
  <si>
    <t>18W125X27X020SH</t>
  </si>
  <si>
    <t>594E8CT2</t>
  </si>
  <si>
    <t>14KY .060 HARD ROUND WIRE</t>
  </si>
  <si>
    <t>14Y060RHW</t>
  </si>
  <si>
    <t>14KY 1.5 X .040 FLAT WIRE</t>
  </si>
  <si>
    <t>14Y1.5X.040FW</t>
  </si>
  <si>
    <t>TQUR48WX</t>
  </si>
  <si>
    <t>BRASS ROUND WIRE - 060
3 FEET LENGTH FOR - 1.25</t>
  </si>
  <si>
    <t>BR060RSW</t>
  </si>
  <si>
    <t>F1DMP9PM</t>
  </si>
  <si>
    <t xml:space="preserve">14KY .045 ROUND SOFT WIRE </t>
  </si>
  <si>
    <t>R43J2KJ7</t>
  </si>
  <si>
    <t>S/S .060 SOFT ROUND WIRE</t>
  </si>
  <si>
    <t>SS060RSW</t>
  </si>
  <si>
    <t>6HZ84HEM</t>
  </si>
  <si>
    <t>18KY .086 CHANNEL WIRE -PATTERN#4414</t>
  </si>
  <si>
    <t>18Y086CW</t>
  </si>
  <si>
    <t>W4UZCXZ5</t>
  </si>
  <si>
    <t>18W086CW_170323-134136_180212-200440_180628-171335.jpg</t>
  </si>
  <si>
    <t xml:space="preserve">14KW .5 X .025 FLAT WIRE </t>
  </si>
  <si>
    <t>14W.5X.025FW</t>
  </si>
  <si>
    <t>7VDAFP43</t>
  </si>
  <si>
    <t>TRQN4RD6</t>
  </si>
  <si>
    <t>10Y025PTW_250519-131510.jpg</t>
  </si>
  <si>
    <t>UXUDDN4A</t>
  </si>
  <si>
    <t>14Y035PTW_180531-163733_180928-184539_220411-183846_250827-133810.jpg</t>
  </si>
  <si>
    <t>14KY .050 EXTRA HARD ROUND WIRE</t>
  </si>
  <si>
    <t>14Y050RXHW</t>
  </si>
  <si>
    <t>FL43RFN4</t>
  </si>
  <si>
    <t>18Y040RSW_170320-142255_170320-142556_170320-142843.jpg</t>
  </si>
  <si>
    <t>18KW .040 ROUND HARD WIRE</t>
  </si>
  <si>
    <t>18W040HRW</t>
  </si>
  <si>
    <t>KZPMX5N6</t>
  </si>
  <si>
    <t>18Y050RSW_160825-093537.jpg</t>
  </si>
  <si>
    <t>18KW PALLADIUM 3.5MM ROUND WIRE</t>
  </si>
  <si>
    <t>18WPD3.5RW</t>
  </si>
  <si>
    <t>EAD04MET</t>
  </si>
  <si>
    <t>18KW .080 PINTONG WIRE</t>
  </si>
  <si>
    <t>Q3CNUYUT</t>
  </si>
  <si>
    <t>18W080RSW_241111-202348.jpg</t>
  </si>
  <si>
    <t>G/F PINK .040 ROUND SOFT WIRE</t>
  </si>
  <si>
    <t>18KY 3MM X 1MM FLAT WIRE</t>
  </si>
  <si>
    <t>18Y3X1FW</t>
  </si>
  <si>
    <t>58XXN4FP</t>
  </si>
  <si>
    <t>14KY .060 EXTRA HARD ROUND WIRE</t>
  </si>
  <si>
    <t>14Y060RXHW</t>
  </si>
  <si>
    <t>CAF87FR7</t>
  </si>
  <si>
    <t>18Y080RHW_161005-141547_161005-141843_161014-201637_161014-202044.jpg</t>
  </si>
  <si>
    <t>18KW .105 CHANNEL WIRE</t>
  </si>
  <si>
    <t>18W105CW</t>
  </si>
  <si>
    <t>CWJXDQZX</t>
  </si>
  <si>
    <t>YRRPM2PP</t>
  </si>
  <si>
    <t>18Y015RHW_170717-135430_190620-183505_200108-195834_230209-184601.jpg</t>
  </si>
  <si>
    <t>18KW .060 SQUARE WIRE</t>
  </si>
  <si>
    <t>18W060SQW</t>
  </si>
  <si>
    <t>RJ7RXPWN</t>
  </si>
  <si>
    <t>18W060SQW.jpg</t>
  </si>
  <si>
    <t>PT 5.0MM HALF-ROUND WIRE</t>
  </si>
  <si>
    <t>PT5.0HRW</t>
  </si>
  <si>
    <t>8X5VR10W</t>
  </si>
  <si>
    <t>PLATINUM .040 ROUND WIRE</t>
  </si>
  <si>
    <t>PT040RW</t>
  </si>
  <si>
    <t>NUM02WTV</t>
  </si>
  <si>
    <t>PT040RSW_171113-184724_180131-142845_190219-190414_190402-145451_200316-195202_200617-163102_210107-185829.jpg</t>
  </si>
  <si>
    <t>K5PUK8RN</t>
  </si>
  <si>
    <t>10Y040RSW_180523-152007_210315-143704.jpg</t>
  </si>
  <si>
    <t>PLATINUM 3MM X 1MM FLAT WIRE</t>
  </si>
  <si>
    <t>PT3X1FW</t>
  </si>
  <si>
    <t>UKKAHP6X</t>
  </si>
  <si>
    <t>18KY 1.5MM X .25MM FLAT WIRE</t>
  </si>
  <si>
    <t>18Y1.5x.25FW</t>
  </si>
  <si>
    <t>NZ85TQ8D</t>
  </si>
  <si>
    <t>G/F PINK .080 ROUND SOFT WIRE</t>
  </si>
  <si>
    <t>GFP080RSW</t>
  </si>
  <si>
    <t>821UCE1U</t>
  </si>
  <si>
    <t>18W070RSW_180809-192259.jpg</t>
  </si>
  <si>
    <t>3000354GW</t>
  </si>
  <si>
    <t>8VNEZWKL</t>
  </si>
  <si>
    <t>18KP .050 SPRING HARD ROUND WIRE</t>
  </si>
  <si>
    <t>18P050PTW</t>
  </si>
  <si>
    <t>K3QP9VK9</t>
  </si>
  <si>
    <t>F/S .100 ROUND WIRE (.9999)</t>
  </si>
  <si>
    <t>FS100RSW</t>
  </si>
  <si>
    <t>K0NCV89P</t>
  </si>
  <si>
    <t>FS100RSW.jpg</t>
  </si>
  <si>
    <t>14KP 4MM X 1MM FLAT WIRE</t>
  </si>
  <si>
    <t>14P4x1FW</t>
  </si>
  <si>
    <t>4MVTW2Z1</t>
  </si>
  <si>
    <t>PLATINUM 4.0MM SQUARE WIRE</t>
  </si>
  <si>
    <t>PT4SQW</t>
  </si>
  <si>
    <t>QML7EHLQ</t>
  </si>
  <si>
    <t>10KY 1.5MM X 1.5MM SQUARE WIRE</t>
  </si>
  <si>
    <t>10Y1.5SQW</t>
  </si>
  <si>
    <t>DC4ZJKX2</t>
  </si>
  <si>
    <t>18W100SQW_161010-134021.jpg</t>
  </si>
  <si>
    <t>6FPL6M85</t>
  </si>
  <si>
    <t>10Y030RSW_160824-111309_210329-141453_210329-143856_231006-170118.jpg</t>
  </si>
  <si>
    <t>G/F .125 SOFT ROUND WIRE</t>
  </si>
  <si>
    <t>GF125RSW</t>
  </si>
  <si>
    <t>DMZEL01E</t>
  </si>
  <si>
    <t>18W070RSW_191223-152631.jpg</t>
  </si>
  <si>
    <t>18KY 3.3MM X 1.8MM FLAT WIRE</t>
  </si>
  <si>
    <t>18Y3.3x1.8FW</t>
  </si>
  <si>
    <t>V58XVTC7</t>
  </si>
  <si>
    <t>14KW 2.5MM X 2.5MM SQUARE WIRE</t>
  </si>
  <si>
    <t>14W2.5SQW</t>
  </si>
  <si>
    <t>1CLZQ3VE</t>
  </si>
  <si>
    <t xml:space="preserve">18KY 4MM X 30GA BEZEL WIRE </t>
  </si>
  <si>
    <t>18Y4.0BW</t>
  </si>
  <si>
    <t>18JY9Q8T</t>
  </si>
  <si>
    <t>18KW .060 PINTONG WIRE</t>
  </si>
  <si>
    <t>18W060PTW</t>
  </si>
  <si>
    <t>DEKW79NT</t>
  </si>
  <si>
    <t>F/S 1/8" X .012" FLAT BEZEL WIRE</t>
  </si>
  <si>
    <t>FS1/8-.012BW</t>
  </si>
  <si>
    <t>53UTXNVF</t>
  </si>
  <si>
    <t xml:space="preserve">22KY 035 YELLOW ROUND SOFT WIRE </t>
  </si>
  <si>
    <t>3Q9Z69C1</t>
  </si>
  <si>
    <t>TFNW2J5J</t>
  </si>
  <si>
    <t>22Y100RSW_190820-134203.jpg</t>
  </si>
  <si>
    <t xml:space="preserve">18KY .020 SQUARE WIRE </t>
  </si>
  <si>
    <t>18Y020SQW</t>
  </si>
  <si>
    <t>5WQHH8X9</t>
  </si>
  <si>
    <t>G/F PINK .015 ROUND SOFT WIRE</t>
  </si>
  <si>
    <t>GFP015RSW</t>
  </si>
  <si>
    <t>8W3R7TWD</t>
  </si>
  <si>
    <t>18W070RSW_160811-155115_171113-145756.jpg</t>
  </si>
  <si>
    <t>PLATINUM .010 ROUND WIRE</t>
  </si>
  <si>
    <t>PT010RW</t>
  </si>
  <si>
    <t>KYMAAF4H</t>
  </si>
  <si>
    <t>18Y015RHW_161031-145019_161031-145129_161031-145207_161031-145444_161122-160723_170905-133419.jpg</t>
  </si>
  <si>
    <t>PLATINUM 1MM X .020 BEZEL WIRE</t>
  </si>
  <si>
    <t>PT1MMBW</t>
  </si>
  <si>
    <t>7UE11DQT</t>
  </si>
  <si>
    <t xml:space="preserve">18KY 130MM X 27MM X 1MM </t>
  </si>
  <si>
    <t>18Y130X27X1FW</t>
  </si>
  <si>
    <t>12994Y3M</t>
  </si>
  <si>
    <t>S/S .028 HARD ROUND WIRE</t>
  </si>
  <si>
    <t>SS028RHW</t>
  </si>
  <si>
    <t>LPN9145Q</t>
  </si>
  <si>
    <t>18KY 2MM X 1MM HALF ROUND WIRE</t>
  </si>
  <si>
    <t>18Y2HRW</t>
  </si>
  <si>
    <t>7EZ7ZJWN</t>
  </si>
  <si>
    <t>G/F .075 SQUARE WIRE</t>
  </si>
  <si>
    <t>GF075SQW</t>
  </si>
  <si>
    <t>U2TTX8LY</t>
  </si>
  <si>
    <t xml:space="preserve">14KW PALLADIUM .040 ROUND SOFT WIRE </t>
  </si>
  <si>
    <t>14WP040RSW</t>
  </si>
  <si>
    <t>A60A3JUQ</t>
  </si>
  <si>
    <t xml:space="preserve">14WPD 015 ROUND SOFT WIRE </t>
  </si>
  <si>
    <t>14WPD015RW</t>
  </si>
  <si>
    <t>VZHMR081</t>
  </si>
  <si>
    <t>18KW PALLADIUM 120 RSW</t>
  </si>
  <si>
    <t>18WPD120RSW</t>
  </si>
  <si>
    <t>DJKZQZRY</t>
  </si>
  <si>
    <t>EX6PXJQ5</t>
  </si>
  <si>
    <t>14KW 2MM X 1MM FLAT WIRE</t>
  </si>
  <si>
    <t>14W2X1FW</t>
  </si>
  <si>
    <t>T4UJUAEK</t>
  </si>
  <si>
    <t>BRASS ROUND WIRE 080</t>
  </si>
  <si>
    <t>BRO-080RW</t>
  </si>
  <si>
    <t>W5LJP8RP</t>
  </si>
  <si>
    <t>18KG 2MM X 2MM SQUARE WIRE</t>
  </si>
  <si>
    <t>18G2SQW</t>
  </si>
  <si>
    <t>C4AQ1N4A</t>
  </si>
  <si>
    <t xml:space="preserve">18KY 080 ROUND SOFT WIRE </t>
  </si>
  <si>
    <t>TKZ59UME</t>
  </si>
  <si>
    <t>6CMRQ2JJ</t>
  </si>
  <si>
    <t>GF020RHW_240618-171624_251217-151359.jpg</t>
  </si>
  <si>
    <t xml:space="preserve">14KW 4MM ROUND WIRE </t>
  </si>
  <si>
    <t>14W4.0RW</t>
  </si>
  <si>
    <t>3NNDQ82K</t>
  </si>
  <si>
    <t>14W160RSW_161223-145811.jpg</t>
  </si>
  <si>
    <t xml:space="preserve">14KY .030 HARD ROUND WIRE </t>
  </si>
  <si>
    <t>14Y030RHW</t>
  </si>
  <si>
    <t>C768ZW0A</t>
  </si>
  <si>
    <t>14Y030RHW_170323-134934_171120-192522_181212-151020_190924-130710_200113-144101_201014-145646_220107-163211_220921-150822_230718-151510_230801-165954_230804-173010_231006-170225_231010-151934_250806-173841.jpg</t>
  </si>
  <si>
    <t xml:space="preserve">PLATNUM .060 ROUND SOFT WIRE </t>
  </si>
  <si>
    <t>BRASS ROUND WIRE HALF HARD 160</t>
  </si>
  <si>
    <t>BRO-160RW</t>
  </si>
  <si>
    <t>375EWNVX</t>
  </si>
  <si>
    <t>18KY 2.5MM X 2.5MM SQUARE WIRE</t>
  </si>
  <si>
    <t>18Y2.5SQW</t>
  </si>
  <si>
    <t>2JU47JDY</t>
  </si>
  <si>
    <t>14KG 4MM X 2MM FLAT WIRE</t>
  </si>
  <si>
    <t>14G4x2FW</t>
  </si>
  <si>
    <t>CYR9MLK7</t>
  </si>
  <si>
    <t xml:space="preserve">COPPPER 125 ROUND SOFT WIRE </t>
  </si>
  <si>
    <t>COPPER125RSW</t>
  </si>
  <si>
    <t>89YT9D50</t>
  </si>
  <si>
    <t>22KY .125 ROUND SOFT WIRE</t>
  </si>
  <si>
    <t>QQ7Y2MW3</t>
  </si>
  <si>
    <t>G/F .060 PINTONG WIRE</t>
  </si>
  <si>
    <t>GF060PTW</t>
  </si>
  <si>
    <t>ZKHM4VJ3</t>
  </si>
  <si>
    <t>GF060PTW.jpg</t>
  </si>
  <si>
    <t xml:space="preserve">18KW PALLADIUM .040 ROUND WIRE </t>
  </si>
  <si>
    <t>W0RCAMAE</t>
  </si>
  <si>
    <t>MQ0AP25Y</t>
  </si>
  <si>
    <t>14KY 2MM X 1MM FLAT WIRE</t>
  </si>
  <si>
    <t>14Y2x1FW</t>
  </si>
  <si>
    <t>0ZW5C467</t>
  </si>
  <si>
    <t>18KW .100 SQUARE WIRE</t>
  </si>
  <si>
    <t>18W100SQW</t>
  </si>
  <si>
    <t>0LZXLHXM</t>
  </si>
  <si>
    <t>S/S 2.0MM BEADED WIRE</t>
  </si>
  <si>
    <t>SS2.0BDW</t>
  </si>
  <si>
    <t>8Z2HF0H1</t>
  </si>
  <si>
    <t>Screenshot2011-02-24at3.07.58PM_170719-131827_190128-190259_210107-195456.png</t>
  </si>
  <si>
    <t>14KY 045 CHANNEL WIRE--PATTERN #4409</t>
  </si>
  <si>
    <t>14KY045CW</t>
  </si>
  <si>
    <t>X1DRU2ER</t>
  </si>
  <si>
    <t>18P038CW_161121-195007.jpg</t>
  </si>
  <si>
    <t>TX17QTDQ</t>
  </si>
  <si>
    <t>14Y070RHW_171010-145419.jpg</t>
  </si>
  <si>
    <t>18KW 3X1 FLAT WIRE</t>
  </si>
  <si>
    <t>3X1MMFW</t>
  </si>
  <si>
    <t>F53NKLT1</t>
  </si>
  <si>
    <t>18KG .060 CLAD ROUND WIRE #7088 green spring hard</t>
  </si>
  <si>
    <t>18KG060CLAD</t>
  </si>
  <si>
    <t>QU58TQ45</t>
  </si>
  <si>
    <t>18Y060RSW_161121-201212_170404-195824.jpg</t>
  </si>
  <si>
    <t>NR4RQ5KZ</t>
  </si>
  <si>
    <t>18Y025PTW_190225-190744_190320-195108_220624-133947_250827-134043.jpg</t>
  </si>
  <si>
    <t xml:space="preserve">14KW .025 HARD ROUND WIRE </t>
  </si>
  <si>
    <t>14W025RHW</t>
  </si>
  <si>
    <t>54EHPEJV</t>
  </si>
  <si>
    <t>14W025RHW_241223-152422.jpg</t>
  </si>
  <si>
    <t>AKCHUC81</t>
  </si>
  <si>
    <t>PT020RSW_170717-135523_200109-135224.jpg</t>
  </si>
  <si>
    <t>0NE57KT9</t>
  </si>
  <si>
    <t>PT028RSW_190522-142159.jpg</t>
  </si>
  <si>
    <t>S/S 2.5MM BEADED WIRE</t>
  </si>
  <si>
    <t>SS2.5BDW</t>
  </si>
  <si>
    <t>XNPPKCF5</t>
  </si>
  <si>
    <t>Screenshot2011-02-24at3.07.58PM_170719-131927_170721-145514_190515-125643.png</t>
  </si>
  <si>
    <t>18KW 6MM X .5MM FLAT WIRE</t>
  </si>
  <si>
    <t>18W6.0FW</t>
  </si>
  <si>
    <t>2CR7AW4F</t>
  </si>
  <si>
    <t>18W6.0FW.jpg</t>
  </si>
  <si>
    <t>S/S .020 ARGENTIUM SOFT ROUND WIRE</t>
  </si>
  <si>
    <t>SS020ARSW</t>
  </si>
  <si>
    <t>VX9ZHHZ0</t>
  </si>
  <si>
    <t xml:space="preserve">14KP. 020 HARD ROUND WIRE </t>
  </si>
  <si>
    <t>14P020RHW</t>
  </si>
  <si>
    <t>WFQWPCT3</t>
  </si>
  <si>
    <t>14P020RSW.jpg</t>
  </si>
  <si>
    <t>S/S 2MM X 1.5MM FLAT WIRE</t>
  </si>
  <si>
    <t>SS2X1.5FW</t>
  </si>
  <si>
    <t>75NLEH9L</t>
  </si>
  <si>
    <t>CXV47UCD</t>
  </si>
  <si>
    <t>14KY 5MM X 1MM FLAT WIRE</t>
  </si>
  <si>
    <t>14Y5X1FW</t>
  </si>
  <si>
    <t>KTRL9XHQ</t>
  </si>
  <si>
    <t>14KP .060 ROUND HARD WIRE</t>
  </si>
  <si>
    <t>14P060RHW</t>
  </si>
  <si>
    <t>924535Z9</t>
  </si>
  <si>
    <t>18KP .040 PINTONG WIRE</t>
  </si>
  <si>
    <t>18P040PTW</t>
  </si>
  <si>
    <t>U4AA18CQ</t>
  </si>
  <si>
    <t>18P040PTW.jpg</t>
  </si>
  <si>
    <t>14KW 1.5MM X 1MM FLAT WIRE</t>
  </si>
  <si>
    <t>14W1.5X1FW</t>
  </si>
  <si>
    <t>ZD6FX4L3</t>
  </si>
  <si>
    <t>18ky 2.5x1.25mm flat wire - soft</t>
  </si>
  <si>
    <t>2.5x1.25mm-18ky</t>
  </si>
  <si>
    <t>X9VTL2VP</t>
  </si>
  <si>
    <t>NXD87PFV</t>
  </si>
  <si>
    <t>18W2.5HRW_210420-134347.jpg</t>
  </si>
  <si>
    <t>18KY .030 ROUND SOFT WIRE</t>
  </si>
  <si>
    <t>18KY 1MM X .020 BEZEL WIRE</t>
  </si>
  <si>
    <t>18Y1MMBW</t>
  </si>
  <si>
    <t>972PWWU2</t>
  </si>
  <si>
    <t>BRASS ROUND WIRE HALF HARD 190</t>
  </si>
  <si>
    <t>BRO-187RW</t>
  </si>
  <si>
    <t>38A7VV87</t>
  </si>
  <si>
    <t>14KY 1MM SQUARE WIRE</t>
  </si>
  <si>
    <t>14Y040SQW</t>
  </si>
  <si>
    <t>THFJ9F3W</t>
  </si>
  <si>
    <t xml:space="preserve">18KW PALLADIUM 060 ROUND SOFT WIRE </t>
  </si>
  <si>
    <t>18WPD060RSW</t>
  </si>
  <si>
    <t>XD9NZJ0T</t>
  </si>
  <si>
    <t>L8NYUTWE</t>
  </si>
  <si>
    <t>14KY 1.5MM X 1MM FLAT WIRE</t>
  </si>
  <si>
    <t>14Y1.5X1FW</t>
  </si>
  <si>
    <t>Q5998KL8</t>
  </si>
  <si>
    <t>18KY 100 ROUND SOFT WIRE</t>
  </si>
  <si>
    <t>10YDAJ8E</t>
  </si>
  <si>
    <t>18KP .060 CLAD ROUND WIRE</t>
  </si>
  <si>
    <t>18KP060CLAD</t>
  </si>
  <si>
    <t>VF006MFQ</t>
  </si>
  <si>
    <t>18KP060CLAD.jpg</t>
  </si>
  <si>
    <t>Platinum round wire .006</t>
  </si>
  <si>
    <t>PT006RSW</t>
  </si>
  <si>
    <t>X9Q89UQ4</t>
  </si>
  <si>
    <t xml:space="preserve">10KW 020 ROUND SOFT WIRE </t>
  </si>
  <si>
    <t>10W020RSW</t>
  </si>
  <si>
    <t>04AA51F0</t>
  </si>
  <si>
    <t>XQ9X3ULH</t>
  </si>
  <si>
    <t>18Y060SQW_200303-182903_240426-144431.jpg</t>
  </si>
  <si>
    <t>S/S .025 SOFT ROUND WIRE</t>
  </si>
  <si>
    <t>SS025RSW</t>
  </si>
  <si>
    <t>9ZRHE8RD</t>
  </si>
  <si>
    <t>SS025RSW_160718-145218_160926-131924_180619-134124_190111-203823_200113-145251_201210-201054_210602-152020_221207-161259_250124-140623_250818-183826.jpg</t>
  </si>
  <si>
    <t>18KY 3MM X 27GA. BEZEL WIRE</t>
  </si>
  <si>
    <t>18KW PALLADIUM .015 ROUND WIRE</t>
  </si>
  <si>
    <t>18WPD015RW</t>
  </si>
  <si>
    <t>8RRVRY6T</t>
  </si>
  <si>
    <t>BRASS ROUND WIRE HALF HARD 090</t>
  </si>
  <si>
    <t>BRO-093RWHH</t>
  </si>
  <si>
    <t>JQRDQ2ZH</t>
  </si>
  <si>
    <t>3000138GW</t>
  </si>
  <si>
    <t>45Z0KAF5</t>
  </si>
  <si>
    <t>18KY .045 HARD ROUND WIRE</t>
  </si>
  <si>
    <t>18Y045RHW</t>
  </si>
  <si>
    <t>48H8EH7R</t>
  </si>
  <si>
    <t>18Y045PTW_160927-133050_170118-144341_181210-144524_230106-143908.jpg</t>
  </si>
  <si>
    <t>18KP 5MM X 1.5MM FLAT WIRE</t>
  </si>
  <si>
    <t>18P5X1.5FW</t>
  </si>
  <si>
    <t>T4WUCRE3</t>
  </si>
  <si>
    <t>G/F PINK .020 ROUND SOFT WIRE</t>
  </si>
  <si>
    <t>GFP020RSW</t>
  </si>
  <si>
    <t>2ZH0EVAV</t>
  </si>
  <si>
    <t>18W070RSW_171102-153006.jpg</t>
  </si>
  <si>
    <t>G/F .030 SQUARE WIRE</t>
  </si>
  <si>
    <t>GF030SQW</t>
  </si>
  <si>
    <t>18WP030PTW</t>
  </si>
  <si>
    <t>0N1YW9ZU</t>
  </si>
  <si>
    <t>14KY .030 SOFT ROUND WIRE</t>
  </si>
  <si>
    <t>14Y030RSW</t>
  </si>
  <si>
    <t>JMV0MJ3P</t>
  </si>
  <si>
    <t>18KY .160 ROUND SOFT WIRE</t>
  </si>
  <si>
    <t>DK2XPPM7</t>
  </si>
  <si>
    <t>18KW PALLADIUM 3MM HALF ROUND WIRE</t>
  </si>
  <si>
    <t>18WPD3HRW</t>
  </si>
  <si>
    <t>6JEL7HJJ</t>
  </si>
  <si>
    <t>18KY .040 EXTRA HARD ROUND WIRE</t>
  </si>
  <si>
    <t>18Y040RXHW</t>
  </si>
  <si>
    <t>UJUKUM89</t>
  </si>
  <si>
    <t>18Y040RSW_170320-142255_180326-184617_200616-170652.jpg</t>
  </si>
  <si>
    <t>14Y080RSW</t>
  </si>
  <si>
    <t>PLATINUM 5.0MM SQUARE WIRE</t>
  </si>
  <si>
    <t>PT5SQW</t>
  </si>
  <si>
    <t>4H1771C7</t>
  </si>
  <si>
    <t>18KY .030 ROUND HARD WIRE</t>
  </si>
  <si>
    <t>70XEVQHR</t>
  </si>
  <si>
    <t>10Y030RSW_160824-111309_210107-173532_210107-190216_240123-194433_241008-192911_241223-153009_250401-135840_251024-142734.jpg</t>
  </si>
  <si>
    <t>259853JC</t>
  </si>
  <si>
    <t>PT010RSW_161220-150234_180504-150224_190820-143525.jpg</t>
  </si>
  <si>
    <t>S/S 2.5MM HALF ROUND WIRE</t>
  </si>
  <si>
    <t>SS2.5HRW</t>
  </si>
  <si>
    <t>NK6XUD1L</t>
  </si>
  <si>
    <t>SS2.5HRW_170227-150939_200312-184517_250818-183751_251105-152527.jpg</t>
  </si>
  <si>
    <t>G/F PINK .050 ROUND SOFT WIRE</t>
  </si>
  <si>
    <t>GFP050RSW</t>
  </si>
  <si>
    <t>ECMQCZY6</t>
  </si>
  <si>
    <t>18W070RSW_191218-152248.jpg</t>
  </si>
  <si>
    <t>10KW .012 ROUND SOFT WIRE</t>
  </si>
  <si>
    <t>10W012RSW</t>
  </si>
  <si>
    <t>QRC2CD59</t>
  </si>
  <si>
    <t>18KP 9MM X .040 FLAT WIRE</t>
  </si>
  <si>
    <t>18P9.0MMFW</t>
  </si>
  <si>
    <t>98VCVWMD</t>
  </si>
  <si>
    <t>G/F .020 ROUND MEDIUM HARD WIRE</t>
  </si>
  <si>
    <t>GF020RMHW</t>
  </si>
  <si>
    <t>UKDYXPFK</t>
  </si>
  <si>
    <t>S/S 2MM OVAL BEADED WIRE</t>
  </si>
  <si>
    <t>SS2OVBDW</t>
  </si>
  <si>
    <t>99MEUCLV</t>
  </si>
  <si>
    <t xml:space="preserve">14KW 4MM X 2MM FLAT WIRE </t>
  </si>
  <si>
    <t>14W4X2FW</t>
  </si>
  <si>
    <t>HH64NHMN</t>
  </si>
  <si>
    <t>CHNRYJ63</t>
  </si>
  <si>
    <t>18KW PALLADIUM 5MM X 2.5MM HALF ROUND WIRE</t>
  </si>
  <si>
    <t>18WPD5HRW</t>
  </si>
  <si>
    <t>PP3VFDL9</t>
  </si>
  <si>
    <t xml:space="preserve">BRASS 250 ROUND WIRE </t>
  </si>
  <si>
    <t>BR250RSW</t>
  </si>
  <si>
    <t>PRXPVA4A</t>
  </si>
  <si>
    <t>G/F .100 PINTONG WIRE</t>
  </si>
  <si>
    <t>GF100PTW</t>
  </si>
  <si>
    <t>37AVQ44V</t>
  </si>
  <si>
    <t>18W070RSW_200113-150103.jpg</t>
  </si>
  <si>
    <t>18WP5HRW</t>
  </si>
  <si>
    <t>J1X1HLK7</t>
  </si>
  <si>
    <t>S/S 5.0MM HALF ROUND WIRE</t>
  </si>
  <si>
    <t>SS5.0HRW</t>
  </si>
  <si>
    <t>2J5Z3079</t>
  </si>
  <si>
    <t>SS5.0HRW_180131-160431_211214-183934.jpg</t>
  </si>
  <si>
    <t>18Y2.5MMHRW</t>
  </si>
  <si>
    <t>AY7DMJ6P</t>
  </si>
  <si>
    <t>18Y2.5HRW_180921-134240.jpg</t>
  </si>
  <si>
    <t>18KW PALLADIUM .060 ROUND SOFT WIRE</t>
  </si>
  <si>
    <t>18WP060RSW</t>
  </si>
  <si>
    <t>75T0J5W3</t>
  </si>
  <si>
    <t>14KP .080 HARD ROUND WIRE</t>
  </si>
  <si>
    <t>14P080RHW</t>
  </si>
  <si>
    <t>F6JKH0A5</t>
  </si>
  <si>
    <t>14P080RSW_170524-201250_170524-201859.jpg</t>
  </si>
  <si>
    <t>14KP ROUND WIRE SOLDER FILLED</t>
  </si>
  <si>
    <t>14P032DRSW</t>
  </si>
  <si>
    <t>2H145ZEL</t>
  </si>
  <si>
    <t>18KP 5MM X 2MM FLAT WIRE</t>
  </si>
  <si>
    <t>18P5X2FW</t>
  </si>
  <si>
    <t>YTZVMUJT</t>
  </si>
  <si>
    <t>PLATINUM .120 SQUARE WIRE</t>
  </si>
  <si>
    <t>PT120SQW</t>
  </si>
  <si>
    <t>AW3V867Y</t>
  </si>
  <si>
    <t>18W100SQW_200113-180602.jpg</t>
  </si>
  <si>
    <t>14KW 4MM X 4MM SQUARE WIRE</t>
  </si>
  <si>
    <t>14W4SQW</t>
  </si>
  <si>
    <t>X24ZWDEC</t>
  </si>
  <si>
    <t>14KW 3MM X 1MM FLAT WIRE</t>
  </si>
  <si>
    <t>14W3X1FW</t>
  </si>
  <si>
    <t>61AH9A9H</t>
  </si>
  <si>
    <t>18KY 7MM X 1.5MM FLAT WIRE</t>
  </si>
  <si>
    <t>18Y7X1.5FW</t>
  </si>
  <si>
    <t>4KY70U93</t>
  </si>
  <si>
    <t xml:space="preserve">S/S GALLERY WIRE </t>
  </si>
  <si>
    <t>SS324-1851GW</t>
  </si>
  <si>
    <t>HDW62H3R</t>
  </si>
  <si>
    <t>14KY .080 SOFT ROUND WIRE</t>
  </si>
  <si>
    <t>E6UA7X2V</t>
  </si>
  <si>
    <t>14Y080RSW_170320-143049_171024-160907_180620-190555_181219-142420_200616-171916_220328-134518_231027-161832_250910-173801.jpg</t>
  </si>
  <si>
    <t>14KY 2.5MM HALF-ROUND WIRE</t>
  </si>
  <si>
    <t>14KY2.5HRW</t>
  </si>
  <si>
    <t>AUHV5N46</t>
  </si>
  <si>
    <t>14Y2.5HRW.jpg</t>
  </si>
  <si>
    <t>14KP 1.7MM X .5MM FLAT WIRE</t>
  </si>
  <si>
    <t>14P1.7FLW</t>
  </si>
  <si>
    <t>A9J4J4U4</t>
  </si>
  <si>
    <t>14P1.7FLW.jpg</t>
  </si>
  <si>
    <t>18KW 2.5 X 2.5MM SQUARE WIRE</t>
  </si>
  <si>
    <t>18W2.5SQW</t>
  </si>
  <si>
    <t>DH5L2XWJ</t>
  </si>
  <si>
    <t xml:space="preserve">14KW .050 HARD ROUND WIRE </t>
  </si>
  <si>
    <t>14W050RHW</t>
  </si>
  <si>
    <t>NMUQ2Z40</t>
  </si>
  <si>
    <t>14W050RHW_231006-171017.jpg</t>
  </si>
  <si>
    <t>S/S OVAL BEADED WIRE 2.6MM</t>
  </si>
  <si>
    <t>SS2.6OVBDW</t>
  </si>
  <si>
    <t>5W86AVUE</t>
  </si>
  <si>
    <t>14Y040HRW</t>
  </si>
  <si>
    <t>CAXT6FYQ</t>
  </si>
  <si>
    <t>PLATINUM .039 ROUND WIRE</t>
  </si>
  <si>
    <t>PT039RW</t>
  </si>
  <si>
    <t>QJ3JWDKH</t>
  </si>
  <si>
    <t>PT040RSW_170413-134041.jpg</t>
  </si>
  <si>
    <t>PLATINUM 2.5MM HALF-ROUND WIRE</t>
  </si>
  <si>
    <t>PT2.5HRW</t>
  </si>
  <si>
    <t>J6KMLDHN</t>
  </si>
  <si>
    <t>PT2HRW.jpg</t>
  </si>
  <si>
    <t>14KP .050 PINTONG WIRE 12 '' LENGTH</t>
  </si>
  <si>
    <t>14P050PTW</t>
  </si>
  <si>
    <t>YH7C6U44</t>
  </si>
  <si>
    <t>14P050RSW_171020-154551_171120-183333.jpg</t>
  </si>
  <si>
    <t>14KP .086 CHANNEL WIRE -PATTERN#4414</t>
  </si>
  <si>
    <t>14P086CW</t>
  </si>
  <si>
    <t>DAEM6VYM</t>
  </si>
  <si>
    <t>14Y086CW.jpg</t>
  </si>
  <si>
    <t>18KY 2MM X 2MM SQUARE WIRE</t>
  </si>
  <si>
    <t>18Y2SQW</t>
  </si>
  <si>
    <t>RNKLV6JJ</t>
  </si>
  <si>
    <t>14KP .080 SOFT ROUND WIRE</t>
  </si>
  <si>
    <t>14P080RSW</t>
  </si>
  <si>
    <t>979PEC63</t>
  </si>
  <si>
    <t>14P080RSW_231218-152725_231218-154654.jpg</t>
  </si>
  <si>
    <t>18KY 070 ROUND HARD WIRE</t>
  </si>
  <si>
    <t>18Y070RHW</t>
  </si>
  <si>
    <t>KZYZL4PT</t>
  </si>
  <si>
    <t>14KY .020 HARD ROUND WIRE</t>
  </si>
  <si>
    <t>14Y020RHW</t>
  </si>
  <si>
    <t>Y0ATH88H</t>
  </si>
  <si>
    <t>14Y020RHW_230615-140805_230628-145539_231010-152217.jpg</t>
  </si>
  <si>
    <t>18KW 4MM X .63MM FLAT WIRE</t>
  </si>
  <si>
    <t>18W4X.63FW</t>
  </si>
  <si>
    <t>PWA95X90</t>
  </si>
  <si>
    <t xml:space="preserve">18KY .018 ROUND SOFT WIRE </t>
  </si>
  <si>
    <t>E3XQ6CVW</t>
  </si>
  <si>
    <t>14KW 5MM X .010 BEZEL WIRE</t>
  </si>
  <si>
    <t>14W5.0BW</t>
  </si>
  <si>
    <t>55CY4UPK</t>
  </si>
  <si>
    <t>14Y5.0FW.jpg</t>
  </si>
  <si>
    <t>18KY 2.0MM HALF ROUND WIRE</t>
  </si>
  <si>
    <t>HCHCP1XE</t>
  </si>
  <si>
    <t>14KW PALLADIUM 2MM X 2MM SQUARE WIRE</t>
  </si>
  <si>
    <t>14WP2.0SQW</t>
  </si>
  <si>
    <t>7VVD6P6C</t>
  </si>
  <si>
    <t>18W100SQW_160824-093115_160824-093222.jpg</t>
  </si>
  <si>
    <t xml:space="preserve">18KP .080 PINTONG WIRE </t>
  </si>
  <si>
    <t>18P080PTW</t>
  </si>
  <si>
    <t>YLRXV84T</t>
  </si>
  <si>
    <t>14Y080PTW.jpg</t>
  </si>
  <si>
    <t>18KP 2MM X 1MM FLAT WIRE</t>
  </si>
  <si>
    <t>18P2X1FW</t>
  </si>
  <si>
    <t>75MDEJF2</t>
  </si>
  <si>
    <t>FLAT WIRE_170421-132521_170421-132919_170601-173637_170602-145300_170615-144439.jpg</t>
  </si>
  <si>
    <t>18KY 3MM X 1.75MM FLAT WIRE</t>
  </si>
  <si>
    <t>18Y3x1.75FW</t>
  </si>
  <si>
    <t>M5RUXMMA</t>
  </si>
  <si>
    <t>18KY 2.5MM X 1MM FLAT WIRE</t>
  </si>
  <si>
    <t>18Y2.5X1FW</t>
  </si>
  <si>
    <t>YFYZDNEF</t>
  </si>
  <si>
    <t>PLATINUM 5MM X 2MM FLAT WIRE</t>
  </si>
  <si>
    <t>PT5X2FW</t>
  </si>
  <si>
    <t>P7CYZZYR</t>
  </si>
  <si>
    <t>FLAT WIRE_170421-132410_170421-132954.jpg</t>
  </si>
  <si>
    <t>4J1A8MHC</t>
  </si>
  <si>
    <t>14Y020RSW_171120-202017_190412-163255_201014-132222_210211-155353_210401-144852_210621-144615_210826-130407_211025-134147_211117-185926_231218-152653_231218-154554.jpg</t>
  </si>
  <si>
    <t xml:space="preserve">22KY 020 YELLOW ROUND SOFT WIRE </t>
  </si>
  <si>
    <t>7CD8TZQ2</t>
  </si>
  <si>
    <t>18KY 6MM HALF-ROUND WIRE</t>
  </si>
  <si>
    <t>18Y6HRW</t>
  </si>
  <si>
    <t>HY3RREQT</t>
  </si>
  <si>
    <t>18KW PALLADIUM 4X2MM HALF-ROUND WIRE</t>
  </si>
  <si>
    <t>18WP4.0HRW</t>
  </si>
  <si>
    <t>CDEFZ4HF</t>
  </si>
  <si>
    <t>18W4.0HRW_170616-133001_170710-193658_170712-192359_180504-131920.jpg</t>
  </si>
  <si>
    <t>14Y045RHW</t>
  </si>
  <si>
    <t>7Z5AUQA7</t>
  </si>
  <si>
    <t>14Y045RHW_181210-144238.jpg</t>
  </si>
  <si>
    <t>18KY .050 ROUND SOFT WIRE</t>
  </si>
  <si>
    <t>UNN7CJTT</t>
  </si>
  <si>
    <t>14KY 1.5MM X 1.5MM SQUARE WIRE</t>
  </si>
  <si>
    <t>14Y1.5SQW</t>
  </si>
  <si>
    <t>35RPE0DC</t>
  </si>
  <si>
    <t>18W100SQW_231218-155212.jpg,18W100SQW_231218-155304.jpg</t>
  </si>
  <si>
    <t>18KP 3MM X 3MM SQUARE WIRE</t>
  </si>
  <si>
    <t>18P3SQW</t>
  </si>
  <si>
    <t>RND9JMVJ</t>
  </si>
  <si>
    <t>YX891MZM</t>
  </si>
  <si>
    <t>22Y080RSW_190819-150257_231122-180033.jpg</t>
  </si>
  <si>
    <t>X8X2FAYE</t>
  </si>
  <si>
    <t>7Q7DWHQ3</t>
  </si>
  <si>
    <t>14W040SQW_250821-162856.jpg</t>
  </si>
  <si>
    <t>PLAT .250 SQUARE WIRE</t>
  </si>
  <si>
    <t>PT250SQW</t>
  </si>
  <si>
    <t>X9UQ7LRV</t>
  </si>
  <si>
    <t xml:space="preserve">S/S 1.2MM BEADED WIRE </t>
  </si>
  <si>
    <t>SS1.2BDW</t>
  </si>
  <si>
    <t>FCQ8C39U</t>
  </si>
  <si>
    <t>Screenshot2011-02-24at3.07.58PM_170719-132300.png</t>
  </si>
  <si>
    <t>05TJYMDQ</t>
  </si>
  <si>
    <t>22Y015RSW_170323-133751_221027-135444_230209-184059.jpg</t>
  </si>
  <si>
    <t>18KY .040 ROUND SOFT WIRE</t>
  </si>
  <si>
    <t>9Z9VETYA</t>
  </si>
  <si>
    <t>14KP 6MM X 2MM FLAT WIRE</t>
  </si>
  <si>
    <t>14P6x2FW</t>
  </si>
  <si>
    <t>1L9FVJC5</t>
  </si>
  <si>
    <t>URYNKPUL</t>
  </si>
  <si>
    <t>22Y060RSW_190617-135850_190801-164156_230522-165304.jpg</t>
  </si>
  <si>
    <t>JEWELRY ARTS MANUFACTURING</t>
  </si>
  <si>
    <t>SS052CW</t>
  </si>
  <si>
    <t>86APAUWR</t>
  </si>
  <si>
    <t>18P038CW_170201-204943.jpg</t>
  </si>
  <si>
    <t xml:space="preserve">18KP 9X2MM FLAT WIRE </t>
  </si>
  <si>
    <t>18P9X2FW</t>
  </si>
  <si>
    <t>UXQQCZUY</t>
  </si>
  <si>
    <t>PLAT .250 SOFT ROUND WIRE</t>
  </si>
  <si>
    <t>PT250RSW</t>
  </si>
  <si>
    <t>RUY4RPT8</t>
  </si>
  <si>
    <t>PT250RSW.jpg</t>
  </si>
  <si>
    <t>14KY .100 ROUND SOFT WIRE</t>
  </si>
  <si>
    <t>14Y100RSW</t>
  </si>
  <si>
    <t>6YZ3PQHW</t>
  </si>
  <si>
    <t>18KW GOLD 4.5MM X 4MM FLAT WIRE</t>
  </si>
  <si>
    <t>18W4.5X4FW</t>
  </si>
  <si>
    <t>3C1DMQN3</t>
  </si>
  <si>
    <t>18KW 2.5MM X 24GA BEZEL WIRE</t>
  </si>
  <si>
    <t>18W2.5BZW</t>
  </si>
  <si>
    <t>8FW2ELRX</t>
  </si>
  <si>
    <t>PLATINUM .020 ROUND WIRE</t>
  </si>
  <si>
    <t>PT020RW</t>
  </si>
  <si>
    <t>TNLL4Q05</t>
  </si>
  <si>
    <t>18Y015RHW_161031-145019_161031-145129_161031-145342.jpg</t>
  </si>
  <si>
    <t>22KY 1.5MM X 1.5MM SQUARE WIRE</t>
  </si>
  <si>
    <t>22Y1.5SQW</t>
  </si>
  <si>
    <t>HARMY8N7</t>
  </si>
  <si>
    <t>8UP49HCU</t>
  </si>
  <si>
    <t>18W035PTW_221024-134442.jpg</t>
  </si>
  <si>
    <t xml:space="preserve">14KY .080 HARD ROUND WIRE </t>
  </si>
  <si>
    <t>14Y080RHW</t>
  </si>
  <si>
    <t>FKMFNZMQ</t>
  </si>
  <si>
    <t>14Y080RHW_220502-182254_231020-181901.jpg</t>
  </si>
  <si>
    <t>14KP .030 SOFT ROUND WIRE</t>
  </si>
  <si>
    <t>14P030RSW</t>
  </si>
  <si>
    <t>QP9TFNAD</t>
  </si>
  <si>
    <t>14P030RSW_170906-154312_180810-150959_180814-195400_181204-163923_181214-202015.jpg</t>
  </si>
  <si>
    <t>14KP .100 SOFT ROUND WIRE</t>
  </si>
  <si>
    <t>14P100RSW</t>
  </si>
  <si>
    <t>732J9H8K</t>
  </si>
  <si>
    <t>14P100RSW_170516-141530.jpg</t>
  </si>
  <si>
    <t>BRASS ROUND WIRE HALF HARD 250</t>
  </si>
  <si>
    <t>BRO-250RW</t>
  </si>
  <si>
    <t>Z0L4DKYV</t>
  </si>
  <si>
    <t>14KW .030 ROUND HARD WIRE</t>
  </si>
  <si>
    <t>14W030RHW</t>
  </si>
  <si>
    <t>9RZR1W88</t>
  </si>
  <si>
    <t>14W030RHW_180814-195051_221107-144035.jpg</t>
  </si>
  <si>
    <t>14KW 030 ROUND SOFT WIRE - PALLADIUM</t>
  </si>
  <si>
    <t>14KWPD030RSW</t>
  </si>
  <si>
    <t>XCXLQZQA</t>
  </si>
  <si>
    <t>PLATIMUM 080 SQUARE WIRE
2.2MM</t>
  </si>
  <si>
    <t>PT080SQW</t>
  </si>
  <si>
    <t>TNJLRJQR</t>
  </si>
  <si>
    <t>G/F PINK .025 ROUND HARD WIRE</t>
  </si>
  <si>
    <t>GFP025RHW</t>
  </si>
  <si>
    <t>40JRMUL8</t>
  </si>
  <si>
    <t>18KY .040 HARD ROUND WIRE</t>
  </si>
  <si>
    <t>18Y040RHW</t>
  </si>
  <si>
    <t>18KW SQUARE WIRE 3MM</t>
  </si>
  <si>
    <t>18W120SQW</t>
  </si>
  <si>
    <t>R66NWVE8</t>
  </si>
  <si>
    <t>18KY 5MM X .5MM FLAT WIRE</t>
  </si>
  <si>
    <t>18Y5x.5FW</t>
  </si>
  <si>
    <t>W62R60Z1</t>
  </si>
  <si>
    <t>14KP .060 SOFT ROUND WIRE</t>
  </si>
  <si>
    <t>14P060RSW</t>
  </si>
  <si>
    <t>NVFY1HHD</t>
  </si>
  <si>
    <t>14P060RSW_170616-134622_171207-152818_171211-160709_190820-134349_220330-173420.jpg</t>
  </si>
  <si>
    <t xml:space="preserve">14KW 4MM X 30GA BEZEL WIRE </t>
  </si>
  <si>
    <t>14W4.0BW</t>
  </si>
  <si>
    <t>H6WRDXEK</t>
  </si>
  <si>
    <t>14KW PALLADIUM 2.5 X 2.5MM SQUARE WIRE</t>
  </si>
  <si>
    <t>14WP2.5SQW</t>
  </si>
  <si>
    <t>FUCCXRW7</t>
  </si>
  <si>
    <t>FZMMHP2V</t>
  </si>
  <si>
    <t>R6U1M3XA</t>
  </si>
  <si>
    <t>GF030RSW_161122-175823_190116-190339_210929-152352_221129-154840_241101-164758_241101-165505.jpg</t>
  </si>
  <si>
    <t>18KW 2.5MM X 1MM FLAT WIRE</t>
  </si>
  <si>
    <t>18W2.5X1FW</t>
  </si>
  <si>
    <t>J3QNMH79</t>
  </si>
  <si>
    <t>18KW PALLADIUM .100 ROUND WIRE</t>
  </si>
  <si>
    <t>18WP100RW</t>
  </si>
  <si>
    <t>W6F1HRDM</t>
  </si>
  <si>
    <t>18Y060RSW_170824-190456_171120-213011_190313-131432_190820-133700.jpg</t>
  </si>
  <si>
    <t>BRASS ROUND WIRE - 125
3 FEET LENGTH FOR - 5.00</t>
  </si>
  <si>
    <t>BR125RSW</t>
  </si>
  <si>
    <t>4ZF5RL90</t>
  </si>
  <si>
    <t>3000154GW</t>
  </si>
  <si>
    <t>URKK6ECR</t>
  </si>
  <si>
    <t xml:space="preserve">18KY FLAT WIRE 5X2MM FLAT WIRE </t>
  </si>
  <si>
    <t>18Y5X2FW</t>
  </si>
  <si>
    <t>U64UL03E</t>
  </si>
  <si>
    <t>ZV8C5T0H</t>
  </si>
  <si>
    <t>14Y040PTW_170809-144216_190923-190651_210830-180156_241213-205613_241223-153056.jpg</t>
  </si>
  <si>
    <t>DY0XU179</t>
  </si>
  <si>
    <t>14W060RHW_231006-171047.jpg</t>
  </si>
  <si>
    <t>18KY 2.5MM HALF ROUND WIRE</t>
  </si>
  <si>
    <t>W87W9H0F</t>
  </si>
  <si>
    <t>18KP 040 ROUND SOFT WIRE</t>
  </si>
  <si>
    <t>18P040RSW</t>
  </si>
  <si>
    <t>4DT83YWH</t>
  </si>
  <si>
    <t>Showcase 1 Tray 10</t>
  </si>
  <si>
    <t>18KY 5MM X .9MM FLAT WIRE</t>
  </si>
  <si>
    <t>18Y5x.9FW</t>
  </si>
  <si>
    <t>P43D5873</t>
  </si>
  <si>
    <t>G/F .125 PINTONG WIRE</t>
  </si>
  <si>
    <t>GF125PTW</t>
  </si>
  <si>
    <t>28PCJW82</t>
  </si>
  <si>
    <t>18W070RSW_200113-145948.jpg</t>
  </si>
  <si>
    <t>14KY 4.0MM HALF-ROUND WIRE</t>
  </si>
  <si>
    <t>14Y4.0HRW</t>
  </si>
  <si>
    <t>6YJXF4ZX</t>
  </si>
  <si>
    <t>14Y4.0HRW.jpg</t>
  </si>
  <si>
    <t>1FKNFMQF</t>
  </si>
  <si>
    <t>18W125RSW_190306-165526_191204-142511.jpg</t>
  </si>
  <si>
    <t>18KP 2.0MM HALF-ROUND WIRE</t>
  </si>
  <si>
    <t>18P2.0HRW</t>
  </si>
  <si>
    <t>PM17ERV6</t>
  </si>
  <si>
    <t>18P2.0HRW.jpg</t>
  </si>
  <si>
    <t>18WPD2.5HRW</t>
  </si>
  <si>
    <t>U8N1N3VR</t>
  </si>
  <si>
    <t xml:space="preserve">14KY .050 HARD ROUND WIRE </t>
  </si>
  <si>
    <t>14Y050RHW</t>
  </si>
  <si>
    <t>WLYW9CD2</t>
  </si>
  <si>
    <t>14Y050RHW_221219-142651.jpg</t>
  </si>
  <si>
    <t xml:space="preserve">S/S 090 ROUND SOFT WIRE </t>
  </si>
  <si>
    <t>X5HAC9JK</t>
  </si>
  <si>
    <t>G/F PINK .030 ROUND HARD WIRE</t>
  </si>
  <si>
    <t>GFP030RHW</t>
  </si>
  <si>
    <t>6YL58CEC</t>
  </si>
  <si>
    <t>18W070RSW_170901-181514_180523-144430_190301-171436_191017-151448.jpg</t>
  </si>
  <si>
    <t>7Q2HTVR1</t>
  </si>
  <si>
    <t>18Y040RSW_220809-185149_220915-134203_220922-195542_221011-131931_221219-142925_230620-134035_231101-140342.jpg</t>
  </si>
  <si>
    <t>14KP 2MM X 1MM FLAT WIRE</t>
  </si>
  <si>
    <t>14P2X1FW</t>
  </si>
  <si>
    <t>QCN6AC88</t>
  </si>
  <si>
    <t>22KY 5MM X 2.5MM HALF-ROUND WIRE</t>
  </si>
  <si>
    <t>22Y5HRW</t>
  </si>
  <si>
    <t>0NM6UN74</t>
  </si>
  <si>
    <t>18Y3.0HRW_161122-161151_161122-161254_161122-161421.jpg</t>
  </si>
  <si>
    <t xml:space="preserve">PLATNIUM .040 ROUND HARD WIRE </t>
  </si>
  <si>
    <t>5Y8R8XLK</t>
  </si>
  <si>
    <t>14KT PINK GOLD 6X1.25 FLAT WIRE</t>
  </si>
  <si>
    <t>14P6X1.25FW</t>
  </si>
  <si>
    <t>65UC3EK7</t>
  </si>
  <si>
    <t>PLATNIUM 080 ROUND SOFT WIRE</t>
  </si>
  <si>
    <t>PLT080RSW</t>
  </si>
  <si>
    <t>ETL0T6MX</t>
  </si>
  <si>
    <t>18KY .100 ROUND HARD WIRE</t>
  </si>
  <si>
    <t>XJFJEJ4K</t>
  </si>
  <si>
    <t xml:space="preserve">14Y 1MM HALF ROUND WIRE </t>
  </si>
  <si>
    <t>14Y1MMHRW</t>
  </si>
  <si>
    <t>QEXCAK17</t>
  </si>
  <si>
    <t>LFT51NNT</t>
  </si>
  <si>
    <t>14W030PTW_250401-140349.jpg</t>
  </si>
  <si>
    <t>18WPD100SQW</t>
  </si>
  <si>
    <t>3VWKTQZL</t>
  </si>
  <si>
    <t>18KY 125 ROUND SOFT WIRE</t>
  </si>
  <si>
    <t>E8ZFWN7W</t>
  </si>
  <si>
    <t>14KP 2.5MM X 2.5MM SQUARE WIRE</t>
  </si>
  <si>
    <t>14P2.5SQW</t>
  </si>
  <si>
    <t>W69NLEDK</t>
  </si>
  <si>
    <t>AVQ7U8PD</t>
  </si>
  <si>
    <t>PT030RSW_160712-140257_190820-143632_200316-195328.jpg</t>
  </si>
  <si>
    <t>BRASS ROUND WIRE HALF HARD 125</t>
  </si>
  <si>
    <t>BRO-125RW</t>
  </si>
  <si>
    <t>QH2CTP19</t>
  </si>
  <si>
    <t>18KY 3MM X 3MM SQUARE WIRE</t>
  </si>
  <si>
    <t>18Y3SQW</t>
  </si>
  <si>
    <t>C8MV4VMT</t>
  </si>
  <si>
    <t>18W100SQW_170118-144435.jpg</t>
  </si>
  <si>
    <t>S/S 3MM X 1.5MM FLAT WIRE</t>
  </si>
  <si>
    <t>SS3X1.5FW</t>
  </si>
  <si>
    <t>N00EWT8Z</t>
  </si>
  <si>
    <t>S/S .125 HARD ROUND WIRE</t>
  </si>
  <si>
    <t>SS125RHW</t>
  </si>
  <si>
    <t>U5KK4A8U</t>
  </si>
  <si>
    <t>SS125RHW_161219-212406_220325-132532.jpg</t>
  </si>
  <si>
    <t xml:space="preserve">14KW .040 HARD ROUND WIRE </t>
  </si>
  <si>
    <t>14W040RHW</t>
  </si>
  <si>
    <t>RR7N69M9</t>
  </si>
  <si>
    <t>14W040RHW_231006-170904.jpg</t>
  </si>
  <si>
    <t>22KY 1MM X 1MM SQUARE WIRE</t>
  </si>
  <si>
    <t>22Y1SQW</t>
  </si>
  <si>
    <t>1Y8Y0YEA</t>
  </si>
  <si>
    <t>N494PTTF</t>
  </si>
  <si>
    <t>BRASS ROUND SOFT WIRE 187</t>
  </si>
  <si>
    <t>BR187RSW</t>
  </si>
  <si>
    <t>TMUZRP7C</t>
  </si>
  <si>
    <t>18KG .080 SQUARE WIRE</t>
  </si>
  <si>
    <t>18G080SQW</t>
  </si>
  <si>
    <t>YA164Y20</t>
  </si>
  <si>
    <t>S/S .015 SQUARE WIRE</t>
  </si>
  <si>
    <t>SS015SQW</t>
  </si>
  <si>
    <t>21P773A8</t>
  </si>
  <si>
    <t>14W040SQW_171024-161057.jpg</t>
  </si>
  <si>
    <t>14KY .060 SOFT ROUND WIRE</t>
  </si>
  <si>
    <t>14Y060RSW</t>
  </si>
  <si>
    <t>57986UJC</t>
  </si>
  <si>
    <t>14Y060RSW_160801-093941_170320-142932_171020-182211_171024-155957_171120-211900_171122-154100_190717-133159_190819-145210_190923-193023_200203-142429_210615-173952_220330-172834_230222-184446_241204-145213.jpg</t>
  </si>
  <si>
    <t xml:space="preserve">24KY .030 ROUND SOFT WIRE </t>
  </si>
  <si>
    <t>24Y030RSW</t>
  </si>
  <si>
    <t>060223DJ</t>
  </si>
  <si>
    <t>14KP 4MM ROUND WIRE</t>
  </si>
  <si>
    <t>14P4.0RW</t>
  </si>
  <si>
    <t>HX5HXM9A</t>
  </si>
  <si>
    <t>18P160RSW_161223-150009.jpg</t>
  </si>
  <si>
    <t>S/S .015 HARD ROUND WIRE</t>
  </si>
  <si>
    <t>SS015RHW</t>
  </si>
  <si>
    <t>Z3X8N24H</t>
  </si>
  <si>
    <t>SS015RHW_180416-161632_221207-162140.jpg</t>
  </si>
  <si>
    <t>S/S .020 HARD ROUND WIRE</t>
  </si>
  <si>
    <t>SS020RHW</t>
  </si>
  <si>
    <t>AM55QFQW</t>
  </si>
  <si>
    <t>SS020RHW_190422-171503.jpg</t>
  </si>
  <si>
    <t>S/S .025 HARD ROUND WIRE</t>
  </si>
  <si>
    <t>SS025RHW</t>
  </si>
  <si>
    <t>RDYWJAAU</t>
  </si>
  <si>
    <t>SS025RHW_190122-145227_200113-142942.jpg</t>
  </si>
  <si>
    <t>S/S .030 HARD ROUND WIRE</t>
  </si>
  <si>
    <t>SS030RHW</t>
  </si>
  <si>
    <t>FFUVHV8C</t>
  </si>
  <si>
    <t>SS030RHW_160824-100654_161024-194046_170403-140346_170824-185906_171207-153853_180326-180249_180801-140319_180817-142716_181204-145549_190117-191655_191118-183050_200108-194658_241204-150113.jpg</t>
  </si>
  <si>
    <t>S/S .035 SOFT ROUND WIRE</t>
  </si>
  <si>
    <t>SS035RSW</t>
  </si>
  <si>
    <t>K0PC5THY</t>
  </si>
  <si>
    <t>SS035RSW_160920-134630_170824-201643_190116-193035_230209-152434.jpg</t>
  </si>
  <si>
    <t>S/S .035 HARD ROUND WIRE</t>
  </si>
  <si>
    <t>SS035RHW</t>
  </si>
  <si>
    <t>8HRYPWFX</t>
  </si>
  <si>
    <t>SS035RHW_161024-194150_170824-202005_180206-210613_181205-152251_190111-143524_190111-203732_230209-152506.jpg</t>
  </si>
  <si>
    <t>S/S .040 HARD ROUND WIRE</t>
  </si>
  <si>
    <t>SS040RHW</t>
  </si>
  <si>
    <t>VJ0ER5RW</t>
  </si>
  <si>
    <t>SS040RHW_170216-150336_170824-202422_180604-183307_190103-150924_190110-194329_210319-132028_220921-144538_240621-180346.jpg</t>
  </si>
  <si>
    <t>S/S .045 SOFT ROUND WIRE</t>
  </si>
  <si>
    <t>SS045RSW</t>
  </si>
  <si>
    <t>3QZDT498</t>
  </si>
  <si>
    <t>SS045RSW_190131-174631_220921-144626.jpg</t>
  </si>
  <si>
    <t>S/S .050 HARD ROUND WIRE</t>
  </si>
  <si>
    <t>SS050RHW</t>
  </si>
  <si>
    <t>VDPD5ZDK</t>
  </si>
  <si>
    <t>SS050RHW_170201-211311_190103-151740_200113-145151_220816-173743_241204-145434.jpg</t>
  </si>
  <si>
    <t>S/S .060 HARD ROUND WIRE</t>
  </si>
  <si>
    <t>SS060RHW</t>
  </si>
  <si>
    <t>ZPH4515Q</t>
  </si>
  <si>
    <t>SS060RHW_170809-144450_190110-191557_220214-160009_250422-185300.jpg</t>
  </si>
  <si>
    <t>S/S .070 SOFT ROUND WIRE</t>
  </si>
  <si>
    <t>SS070RSW</t>
  </si>
  <si>
    <t>4131ZW18</t>
  </si>
  <si>
    <t>S/S .070 HARD ROUND WIRE</t>
  </si>
  <si>
    <t>SS070RHW</t>
  </si>
  <si>
    <t>07JF439J</t>
  </si>
  <si>
    <t>SS070RHW_231214-185400.jpg</t>
  </si>
  <si>
    <t>S/S .080 HARD ROUND WIRE</t>
  </si>
  <si>
    <t>SS080RHW</t>
  </si>
  <si>
    <t>XZ9Z3C5A</t>
  </si>
  <si>
    <t>SS080RHW_160725-152031_171129-151102_181023-140159_190122-145102_221103-131313.jpg</t>
  </si>
  <si>
    <t>S/S .090 HARD ROUND WIRE</t>
  </si>
  <si>
    <t>SS090RHW</t>
  </si>
  <si>
    <t>AWC8ULNU</t>
  </si>
  <si>
    <t>SS090RHW_211217-191628.jpg</t>
  </si>
  <si>
    <t>S/S .100 HARD ROUND WIRE</t>
  </si>
  <si>
    <t>SS100RHW</t>
  </si>
  <si>
    <t>1R93ZH50</t>
  </si>
  <si>
    <t>SS100RHW_171129-151020_210723-144059.jpg</t>
  </si>
  <si>
    <t>S/S .115 SOFT ROUND WIRE</t>
  </si>
  <si>
    <t>SS115RSW</t>
  </si>
  <si>
    <t>4D6X8YKU</t>
  </si>
  <si>
    <t>SS115RSW.jpg</t>
  </si>
  <si>
    <t>S/S .120 SOFT ROUND WIRE</t>
  </si>
  <si>
    <t>SS120RSW</t>
  </si>
  <si>
    <t>VDRZRW5T</t>
  </si>
  <si>
    <t>SS120RSW.jpg</t>
  </si>
  <si>
    <t>S/S .125 SOFT ROUND WIRE</t>
  </si>
  <si>
    <t>SS125RSW</t>
  </si>
  <si>
    <t>QQVCF09Y</t>
  </si>
  <si>
    <t>SS125RSW_160810-091248_170201-211503_171129-154034_180904-152258_181019-130351_190117-191519_190617-125158_190718-130035_210723-144736_220330-173344_221207-161440_231218-151438.jpg</t>
  </si>
  <si>
    <t>S/S .160 SOFT ROUND WIRE</t>
  </si>
  <si>
    <t>SS160RSW</t>
  </si>
  <si>
    <t>CXYLRFC5</t>
  </si>
  <si>
    <t>S/S .160 HARD ROUND WIRE</t>
  </si>
  <si>
    <t>SS160RHW</t>
  </si>
  <si>
    <t>1UYKFM3Y</t>
  </si>
  <si>
    <t>SS160RHW.jpg</t>
  </si>
  <si>
    <t>S/S .200 SOFT ROUND WIRE</t>
  </si>
  <si>
    <t>SS200RSW</t>
  </si>
  <si>
    <t>XJQYM3WM</t>
  </si>
  <si>
    <t>SS200RSW_161121-194011_180207-142846_200623-142927_211217-193919_240115-145341_240618-154136_251204-142136.jpg</t>
  </si>
  <si>
    <t>S/S .250 SOFT ROUND WIRE</t>
  </si>
  <si>
    <t>SS250RSW</t>
  </si>
  <si>
    <t>MP0TNTH2</t>
  </si>
  <si>
    <t>SS250RSW_170321-142353_180329-143851_181217-183408_220107-155156_220223-165001_221207-160714_240419-184949.jpg</t>
  </si>
  <si>
    <t>S/S .300 SOFT ROUND WIRE</t>
  </si>
  <si>
    <t>SS300RSW</t>
  </si>
  <si>
    <t>NMDFQUVH</t>
  </si>
  <si>
    <t>SS300RSW_170629-140634_200520-152147_221207-160854_240419-185019.jpg</t>
  </si>
  <si>
    <t>S/S .400 SOFT ROUND WIRE</t>
  </si>
  <si>
    <t>SS400RSW</t>
  </si>
  <si>
    <t>K8MLM9MU</t>
  </si>
  <si>
    <t>SS400RSW.jpg</t>
  </si>
  <si>
    <t>F/S .010 ROUND WIRE</t>
  </si>
  <si>
    <t>FS010RSW</t>
  </si>
  <si>
    <t>7H315Q9U</t>
  </si>
  <si>
    <t>FS010RSW_190918-154646.jpg</t>
  </si>
  <si>
    <t>F/S .015 ROUND WIRE</t>
  </si>
  <si>
    <t>FS015RSW</t>
  </si>
  <si>
    <t>0P37C610</t>
  </si>
  <si>
    <t>FS015RSW_190412-170817_201014-133307_210315-155013_210929-140947_210929-143056_220901-173040_220901-173232.jpg</t>
  </si>
  <si>
    <t>F/S .020 ROUND WIRE</t>
  </si>
  <si>
    <t>FS020RSW</t>
  </si>
  <si>
    <t>YJ140HE1</t>
  </si>
  <si>
    <t>FS020RSW_190402-142955_201014-133433_210929-141358.jpg</t>
  </si>
  <si>
    <t>F/S .025 ROUND WIRE</t>
  </si>
  <si>
    <t>FS025RSW</t>
  </si>
  <si>
    <t>5V3VYY4Q</t>
  </si>
  <si>
    <t>FS025RSW_230720-191211.jpg</t>
  </si>
  <si>
    <t>F/S .030 ROUND WIRE</t>
  </si>
  <si>
    <t>FS030RSW</t>
  </si>
  <si>
    <t>T0KVL667</t>
  </si>
  <si>
    <t>FS030RSW_250422-184134_250422-184825.jpg</t>
  </si>
  <si>
    <t>F/S .035 ROUND WIRE</t>
  </si>
  <si>
    <t>FS035RSW</t>
  </si>
  <si>
    <t>ZH0M7YLC</t>
  </si>
  <si>
    <t>FS035RSW.jpg</t>
  </si>
  <si>
    <t>F/S .040 ROUND WIRE</t>
  </si>
  <si>
    <t>FS040RSW</t>
  </si>
  <si>
    <t>82HYL6HD</t>
  </si>
  <si>
    <t>FS040RSW_201210-173919_250131-154134.jpg</t>
  </si>
  <si>
    <t>F/S .050 ROUND WIRE</t>
  </si>
  <si>
    <t>FS050RSW</t>
  </si>
  <si>
    <t>WXU03CWH</t>
  </si>
  <si>
    <t>FS050RSW_181025-131508_220330-165931.jpg</t>
  </si>
  <si>
    <t>F/S .060 ROUND WIRE</t>
  </si>
  <si>
    <t>FS060RSW</t>
  </si>
  <si>
    <t>Q4819L7X</t>
  </si>
  <si>
    <t>18Y015RHW_230130-145124_250131-154200.jpg</t>
  </si>
  <si>
    <t>F/S .080 ROUND WIRE</t>
  </si>
  <si>
    <t>FS080RSW</t>
  </si>
  <si>
    <t>389UMU0Y</t>
  </si>
  <si>
    <t>FS080RSW_160811-155327_200520-150210.jpg</t>
  </si>
  <si>
    <t>F/S .125 ROUND WIRE</t>
  </si>
  <si>
    <t>FS125RSW</t>
  </si>
  <si>
    <t>V3K8VXFH</t>
  </si>
  <si>
    <t>FS125RSW.jpg</t>
  </si>
  <si>
    <t>F/S .200 ROUND WIRE</t>
  </si>
  <si>
    <t>FS200RSW</t>
  </si>
  <si>
    <t>HC4WD5MV</t>
  </si>
  <si>
    <t>FS200RSW_160629-095330.jpg</t>
  </si>
  <si>
    <t>F/S .250 ROUND WIRE</t>
  </si>
  <si>
    <t>FS250RSW</t>
  </si>
  <si>
    <t>MPCY2EMU</t>
  </si>
  <si>
    <t>FS250RSW_160629-095239_220203-183140.jpg</t>
  </si>
  <si>
    <t>S/S 2.0MM HALF ROUND WIRE</t>
  </si>
  <si>
    <t>SS2.0HRW</t>
  </si>
  <si>
    <t>8Y8XNQN4</t>
  </si>
  <si>
    <t>SS2.0HRW_171020-155101_190726-160505_240115-155924.jpg</t>
  </si>
  <si>
    <t>S/S 3.0MM HALF ROUND WIRE</t>
  </si>
  <si>
    <t>SS3.0HRW</t>
  </si>
  <si>
    <t>47V85ATE</t>
  </si>
  <si>
    <t>HALFROUND_170712-175535_180416-163446_200312-141815_230117-202655.jpg</t>
  </si>
  <si>
    <t>S/S 6MM HALF ROUND WIRE</t>
  </si>
  <si>
    <t>SS6.0HRW</t>
  </si>
  <si>
    <t>8R042Y3P</t>
  </si>
  <si>
    <t>SS6.0HRW_160629-094602_180207-142458_200312-142619.jpg</t>
  </si>
  <si>
    <t>S/S 9MM LOW DOME HALF-ROUND WIRE</t>
  </si>
  <si>
    <t>SS9LDHRW</t>
  </si>
  <si>
    <t>XTMPFEMR</t>
  </si>
  <si>
    <t>SS9LDHRW.jpg</t>
  </si>
  <si>
    <t>S/S 13MM LOW DOME HALF-ROUND WIRE</t>
  </si>
  <si>
    <t>SS13LDHRW</t>
  </si>
  <si>
    <t>KZ7T1AWR</t>
  </si>
  <si>
    <t>SS13LDHRW.jpg</t>
  </si>
  <si>
    <t>S/S 15MM LOW DOME HALF-ROUND WIRE</t>
  </si>
  <si>
    <t>SS15LDHRW</t>
  </si>
  <si>
    <t>T9Z7J1X9</t>
  </si>
  <si>
    <t>SS15LDHRW.jpg</t>
  </si>
  <si>
    <t>S/S .040 SQUARE WIRE</t>
  </si>
  <si>
    <t>SS040SQW</t>
  </si>
  <si>
    <t>UN0K7LJP</t>
  </si>
  <si>
    <t>SS040SQW_191004-142712.jpg</t>
  </si>
  <si>
    <t>S/S .050 SQUARE WIRE</t>
  </si>
  <si>
    <t>SS050SQW</t>
  </si>
  <si>
    <t>8E3NYL7H</t>
  </si>
  <si>
    <t>SS050SQW_170424-135212_181026-195758_191011-150725.jpg</t>
  </si>
  <si>
    <t>S/S .075 SQUARE WIRE</t>
  </si>
  <si>
    <t>SS075SQW</t>
  </si>
  <si>
    <t>RKP8DK5W</t>
  </si>
  <si>
    <t>SS075SQW_161121-193635_170809-144800_190923-192141_240115-155849.jpg</t>
  </si>
  <si>
    <t>S/S .090 SQUARE WIRE</t>
  </si>
  <si>
    <t>SS090SQW</t>
  </si>
  <si>
    <t>0QRYY5T5</t>
  </si>
  <si>
    <t>SS090SQW_180212-203248_190517-131544.jpg</t>
  </si>
  <si>
    <t>S/S .125 SQUARE WIRE</t>
  </si>
  <si>
    <t>SS125SQW</t>
  </si>
  <si>
    <t>9Q0ZAZML</t>
  </si>
  <si>
    <t>SS125SQW_160725-091700_180312-152500_191213-163707_240515-194222.jpg</t>
  </si>
  <si>
    <t>S/S .160 SQUARE WIRE</t>
  </si>
  <si>
    <t>SS160SQW</t>
  </si>
  <si>
    <t>L6E9A70L</t>
  </si>
  <si>
    <t>SS160SQW_160801-095232_180312-151953_200311-183254_231020-134703.jpg</t>
  </si>
  <si>
    <t>S/S .200 SQUARE WIRE</t>
  </si>
  <si>
    <t>SS200SQW</t>
  </si>
  <si>
    <t>780M8N9C</t>
  </si>
  <si>
    <t>SS200SQW.jpg</t>
  </si>
  <si>
    <t>S/S 3.0MM TRIANGLE WIRE</t>
  </si>
  <si>
    <t>SS3.0TRW</t>
  </si>
  <si>
    <t>8WTK0K85</t>
  </si>
  <si>
    <t>SS3.0TRW.jpg</t>
  </si>
  <si>
    <t>S/S 4.0MM TRIANGLE WIRE</t>
  </si>
  <si>
    <t>SS4.0TRW</t>
  </si>
  <si>
    <t>2WLMEYT2</t>
  </si>
  <si>
    <t>SS4.0TRW.jpg</t>
  </si>
  <si>
    <t>S/S 1.0MM BEADED WIRE</t>
  </si>
  <si>
    <t>SS1.0BDW</t>
  </si>
  <si>
    <t>D5X9AUM6</t>
  </si>
  <si>
    <t>S/S 4.0MM BEADED WIRE</t>
  </si>
  <si>
    <t>SS4.0BDW</t>
  </si>
  <si>
    <t>ML7Y07LF</t>
  </si>
  <si>
    <t>Screenshot2011-02-24at3.07.58PM_170719-132201.png</t>
  </si>
  <si>
    <t>S/S 3MM SEATED BEZEL WIRE</t>
  </si>
  <si>
    <t>SS3.0SBW</t>
  </si>
  <si>
    <t>33E1CD53</t>
  </si>
  <si>
    <t>SS3.0SBW.jpg</t>
  </si>
  <si>
    <t>S/S 4MM SEATED WIRE</t>
  </si>
  <si>
    <t>SS4.0SBW</t>
  </si>
  <si>
    <t>CD98VN2K</t>
  </si>
  <si>
    <t>SS4.0SBW.jpg</t>
  </si>
  <si>
    <t>S/S 6MM SEATED BEZEL WIRE</t>
  </si>
  <si>
    <t>SS6.0SBW</t>
  </si>
  <si>
    <t>972RAD90</t>
  </si>
  <si>
    <t>SS6.0SBW.jpg</t>
  </si>
  <si>
    <t>SS2378TW</t>
  </si>
  <si>
    <t>Y9W9919Z</t>
  </si>
  <si>
    <t>SS2379TW</t>
  </si>
  <si>
    <t>UCLRJQPA</t>
  </si>
  <si>
    <t>SS2380TW</t>
  </si>
  <si>
    <t>WUQ6M83N</t>
  </si>
  <si>
    <t>SS2387TW</t>
  </si>
  <si>
    <t>9Y99WQW5</t>
  </si>
  <si>
    <t>F/S 1/8" X .010" FLAT BEZEL WIRE</t>
  </si>
  <si>
    <t>FS1/8BW</t>
  </si>
  <si>
    <t>4U6RVX1M</t>
  </si>
  <si>
    <t>SS1-4-125FW_170516-143341_190523-133308_220624-133352.jpg</t>
  </si>
  <si>
    <t>F/S 1/4" X .010" FLAT BEZEL WIRE (A0479)</t>
  </si>
  <si>
    <t>FS1/4BW</t>
  </si>
  <si>
    <t>LPLQYANC</t>
  </si>
  <si>
    <t xml:space="preserve">FS1/4BW </t>
  </si>
  <si>
    <t>SS1-4-125FW_181115-151500_220223-164823_231115-161034.jpg</t>
  </si>
  <si>
    <t>S/S 1/8" X .030 FLAT WIRE</t>
  </si>
  <si>
    <t>SS1/8-030FW</t>
  </si>
  <si>
    <t>R7YEDFMY</t>
  </si>
  <si>
    <t>SS1-8-030FW.jpg</t>
  </si>
  <si>
    <t>S/S 1/8" X .040 FLAT WIRE</t>
  </si>
  <si>
    <t>SS1/8-040FW</t>
  </si>
  <si>
    <t>6Q0M598R</t>
  </si>
  <si>
    <t>SS1-8-040FW_180215-142813_190927-135829_240115-160009.jpg</t>
  </si>
  <si>
    <t>S/S 1/4" X .030 FLAT WIRE</t>
  </si>
  <si>
    <t>SS1/4-030FW</t>
  </si>
  <si>
    <t>UACNWY1E</t>
  </si>
  <si>
    <t>SS1-4-030FW.jpg</t>
  </si>
  <si>
    <t>S/S 1/4" X .040 FLAT WIRE</t>
  </si>
  <si>
    <t>SS1/4-040FW</t>
  </si>
  <si>
    <t>1JU0PR5D</t>
  </si>
  <si>
    <t>SS3-16-040FW_161014-202257_170403-142723_190215-184852_240115-145903_240327-135259.jpg</t>
  </si>
  <si>
    <t xml:space="preserve">S/S 3/8" X .040 FLAT WIRE </t>
  </si>
  <si>
    <t>SS3/8-040FW</t>
  </si>
  <si>
    <t>RRJ9NLV9</t>
  </si>
  <si>
    <t>S/S 3/16" X .040 FLAT WIRE</t>
  </si>
  <si>
    <t>SS3/16-040FW</t>
  </si>
  <si>
    <t>23TQAXJR</t>
  </si>
  <si>
    <t>SS3-16-040FW_170216-150216_181221-151732.jpg</t>
  </si>
  <si>
    <t>S/S 1/2" X .040 FLAT WIRE</t>
  </si>
  <si>
    <t>SS1/2-040FW</t>
  </si>
  <si>
    <t>789X2H7L</t>
  </si>
  <si>
    <t>SS1-2-040FW_170216-151516_180207-144924_190501-134439.jpg</t>
  </si>
  <si>
    <t>S/S 5/8" X .040 FLAT WIRE</t>
  </si>
  <si>
    <t>SS5/8-040FW</t>
  </si>
  <si>
    <t>6H34HNM1</t>
  </si>
  <si>
    <t>SS5-8-040FW.jpg</t>
  </si>
  <si>
    <t>S/S .105 CHANNEL WIRE (PATTERN #4415)</t>
  </si>
  <si>
    <t>SS105CW</t>
  </si>
  <si>
    <t>1K0FMX6K</t>
  </si>
  <si>
    <t>SS105CW.jpg</t>
  </si>
  <si>
    <t>S/S 1/2 RD MILL GRAIN WIRE</t>
  </si>
  <si>
    <t>SS1/2MILW</t>
  </si>
  <si>
    <t>LP1C254Q</t>
  </si>
  <si>
    <t>SS1-2MILW.jpg</t>
  </si>
  <si>
    <t xml:space="preserve">14KY .035 HARD ROUND WIRE </t>
  </si>
  <si>
    <t>14Y035RHW</t>
  </si>
  <si>
    <t>YCL9WC2A</t>
  </si>
  <si>
    <t>14Y035RHW_181113-180246_210929-151929.jpg</t>
  </si>
  <si>
    <t xml:space="preserve">14KY .070 SOFT ROUND WIRE </t>
  </si>
  <si>
    <t>14Y070RSW</t>
  </si>
  <si>
    <t>7WLKXWVD</t>
  </si>
  <si>
    <t>14Y070RSW_180924-133339_200721-131656.jpg</t>
  </si>
  <si>
    <t>14KY .120 ROUND SOFT WIRE</t>
  </si>
  <si>
    <t>14Y120RSW</t>
  </si>
  <si>
    <t>WZ2AUA9W</t>
  </si>
  <si>
    <t>14Y120RSW.jpg</t>
  </si>
  <si>
    <t xml:space="preserve">14KY .125 SOFT ROUND WIRE </t>
  </si>
  <si>
    <t>14Y125RSW</t>
  </si>
  <si>
    <t>N3N46CMW</t>
  </si>
  <si>
    <t>14Y125RSW_170421-173022_200120-141542.jpg</t>
  </si>
  <si>
    <t>14KY .160 SOFT ROUND WIRE</t>
  </si>
  <si>
    <t>14Y160RSW</t>
  </si>
  <si>
    <t>6093M99X</t>
  </si>
  <si>
    <t>14Y160RSW_181017-134532_181023-133253.jpg</t>
  </si>
  <si>
    <t xml:space="preserve">14KY .160 HARD ROUND WIRE </t>
  </si>
  <si>
    <t>14Y160RHW</t>
  </si>
  <si>
    <t>AU7CFZ6Y</t>
  </si>
  <si>
    <t>14Y160RHW.jpg</t>
  </si>
  <si>
    <t>14KY 1.5MM HALF-ROUND WIRE</t>
  </si>
  <si>
    <t>14Y1.5HRW</t>
  </si>
  <si>
    <t>FJCLXZ0W</t>
  </si>
  <si>
    <t>14Y1.5HRW_191223-191853.jpg</t>
  </si>
  <si>
    <t>14KY 2.0MM HALF-ROUND WIRE</t>
  </si>
  <si>
    <t>14Y2.0HRW</t>
  </si>
  <si>
    <t>PNANZC3E</t>
  </si>
  <si>
    <t>14Y2.0HRW_180620-191514_190215-185628.jpg</t>
  </si>
  <si>
    <t>14Y2.5HRW</t>
  </si>
  <si>
    <t>41UD7VJW</t>
  </si>
  <si>
    <t>14KY 3.0MM HALF-ROUND WIRE</t>
  </si>
  <si>
    <t>14Y3.0HRW</t>
  </si>
  <si>
    <t>NRCQLL41</t>
  </si>
  <si>
    <t>14Y3.0HRW_190718-125732_191025-193559.jpg</t>
  </si>
  <si>
    <t>14KY 5.0MM HALF-ROUND WIRE</t>
  </si>
  <si>
    <t>14Y5.0HRW</t>
  </si>
  <si>
    <t>KP0L8FAC</t>
  </si>
  <si>
    <t>14Y5.0HRW.jpg</t>
  </si>
  <si>
    <t>14KY 6MM X 3MM HALF-ROUND WIRE</t>
  </si>
  <si>
    <t>14Y6.0HRW</t>
  </si>
  <si>
    <t>24X2FF7T</t>
  </si>
  <si>
    <t>14Y6.0HRW_161223-151306.jpg</t>
  </si>
  <si>
    <t>14KW 1.5MM HALF-ROUND WIRE</t>
  </si>
  <si>
    <t>14W1.5HRW</t>
  </si>
  <si>
    <t>UZEW5TZN</t>
  </si>
  <si>
    <t>14W1.5HRW.jpg</t>
  </si>
  <si>
    <t>14KW 2.0MM HALF-ROUND WIRE</t>
  </si>
  <si>
    <t>14W2.0HRW</t>
  </si>
  <si>
    <t>2YTTRFJV</t>
  </si>
  <si>
    <t>14W2.0HRW.jpg</t>
  </si>
  <si>
    <t>14KW 2.5MM HALF-ROUND WIRE</t>
  </si>
  <si>
    <t>14W2.5HRW</t>
  </si>
  <si>
    <t>Q72WWLPM</t>
  </si>
  <si>
    <t>14W2.5HRW.jpg</t>
  </si>
  <si>
    <t>14KW 3.0MM HALF-ROUND WIRE</t>
  </si>
  <si>
    <t>14W3.0HRW</t>
  </si>
  <si>
    <t>H058M824</t>
  </si>
  <si>
    <t>14W3.0HRW.jpg</t>
  </si>
  <si>
    <t>14KW 4.0MM HALF-ROUND WIRE</t>
  </si>
  <si>
    <t>14W4.0HRW</t>
  </si>
  <si>
    <t>1AQ414DX</t>
  </si>
  <si>
    <t>14W4.0HRW_170109-175828.jpg</t>
  </si>
  <si>
    <t>14KP 1.5MM HALF-ROUND WIRE</t>
  </si>
  <si>
    <t>14P1.5HRW</t>
  </si>
  <si>
    <t>90HK7AC0</t>
  </si>
  <si>
    <t>14P1.5HRW_170524-201952.jpg</t>
  </si>
  <si>
    <t>14KP 2.0MM HALF-ROUND WIRE</t>
  </si>
  <si>
    <t>14P2.0HRW</t>
  </si>
  <si>
    <t>VKJ9KFZJ</t>
  </si>
  <si>
    <t>14P2.0HRW.jpg</t>
  </si>
  <si>
    <t>14KP 2.5MM HALF-ROUND WIRE</t>
  </si>
  <si>
    <t>14P2.5HRW</t>
  </si>
  <si>
    <t>9WCNM1JN</t>
  </si>
  <si>
    <t>14P2.5HRW.jpg</t>
  </si>
  <si>
    <t>14KP 3.0MM HALF-ROUND WIRE</t>
  </si>
  <si>
    <t>14P3.0HRW</t>
  </si>
  <si>
    <t>N3X0KWRA</t>
  </si>
  <si>
    <t>14P3.0HRW_190710-125719.jpg</t>
  </si>
  <si>
    <t>14KP 4 X 2MM HALF-ROUND WIRE</t>
  </si>
  <si>
    <t>14P4.0HRW</t>
  </si>
  <si>
    <t>U0WW8ZTM</t>
  </si>
  <si>
    <t>14P4.0HRW_170109-175708_170615-145147.jpg</t>
  </si>
  <si>
    <t>14KG 1.5MM HALF-ROUND WIRE</t>
  </si>
  <si>
    <t>14G1.5HRW</t>
  </si>
  <si>
    <t>1CTR6FVT</t>
  </si>
  <si>
    <t>14G1.5HRW.jpg</t>
  </si>
  <si>
    <t>14KG 2.0MM HALF-ROUND WIRE</t>
  </si>
  <si>
    <t>14G2.0HRW</t>
  </si>
  <si>
    <t>DN0EKKD5</t>
  </si>
  <si>
    <t>14G2.0HRW.jpg</t>
  </si>
  <si>
    <t>14KG 2.5MM HALF-ROUND WIRE</t>
  </si>
  <si>
    <t>14G2.5HRW</t>
  </si>
  <si>
    <t>0EC8NZZN</t>
  </si>
  <si>
    <t>14G2.5HRW.jpg</t>
  </si>
  <si>
    <t>14KG 3MM HALF-ROUND WIRE</t>
  </si>
  <si>
    <t>14G3.0HRW</t>
  </si>
  <si>
    <t>CHT7M6CY</t>
  </si>
  <si>
    <t>14G3.0HRW_190710-125359.jpg</t>
  </si>
  <si>
    <t xml:space="preserve">14KW .015 SOFT ROUND WIRE </t>
  </si>
  <si>
    <t>14W015RSW</t>
  </si>
  <si>
    <t>ANN3DHPT</t>
  </si>
  <si>
    <t>14W015RSW_171120-191230.jpg</t>
  </si>
  <si>
    <t xml:space="preserve">14KW .015 HARD ROUND WIRE </t>
  </si>
  <si>
    <t>14W015RHW</t>
  </si>
  <si>
    <t>TUVZ3KAL</t>
  </si>
  <si>
    <t>14W015RHW.jpg</t>
  </si>
  <si>
    <t xml:space="preserve">14KW .020 SOFT ROUND WIRE </t>
  </si>
  <si>
    <t>14W020RSW</t>
  </si>
  <si>
    <t>ZMUVYAKV</t>
  </si>
  <si>
    <t>14W020RSW_171120-201841.jpg</t>
  </si>
  <si>
    <t xml:space="preserve">14KW .020 HARD ROUND WIRE </t>
  </si>
  <si>
    <t>14W020RHW</t>
  </si>
  <si>
    <t>CQU8FR87</t>
  </si>
  <si>
    <t>14W020RHW.jpg</t>
  </si>
  <si>
    <t xml:space="preserve">14KW .025 SOFT ROUND WIRE </t>
  </si>
  <si>
    <t>14W025RSW</t>
  </si>
  <si>
    <t>8AP7MZK5</t>
  </si>
  <si>
    <t>14W025RSW_200520-151512.jpg</t>
  </si>
  <si>
    <t xml:space="preserve">14KW .030 SOFT ROUND WIRE </t>
  </si>
  <si>
    <t>14W030RSW</t>
  </si>
  <si>
    <t>6YHFDAT3</t>
  </si>
  <si>
    <t>14W030RSW_190717-135807.jpg</t>
  </si>
  <si>
    <t xml:space="preserve">14KW .035 SOFT ROUND WIRE </t>
  </si>
  <si>
    <t>14W035RSW</t>
  </si>
  <si>
    <t>TDMTNY2E</t>
  </si>
  <si>
    <t>14W035RSW.jpg</t>
  </si>
  <si>
    <t xml:space="preserve">14KW .035 HARD ROUND WIRE </t>
  </si>
  <si>
    <t>14W035RHW</t>
  </si>
  <si>
    <t>L0KPUZ2K</t>
  </si>
  <si>
    <t>14W035RHW.jpg</t>
  </si>
  <si>
    <t xml:space="preserve">14KW .040 SOFT ROUND WIRE </t>
  </si>
  <si>
    <t>14W040RSW</t>
  </si>
  <si>
    <t>WTJH3CPC</t>
  </si>
  <si>
    <t>14W040RSW_241203-171810.jpg</t>
  </si>
  <si>
    <t xml:space="preserve">14KW .045 SOFT ROUND WIRE </t>
  </si>
  <si>
    <t>14W045RSW</t>
  </si>
  <si>
    <t>17MX44YU</t>
  </si>
  <si>
    <t>14W045RSW.jpg</t>
  </si>
  <si>
    <t xml:space="preserve">14KW .050 SOFT ROUND WIRE </t>
  </si>
  <si>
    <t>14W050RSW</t>
  </si>
  <si>
    <t>FLQ4MNAX</t>
  </si>
  <si>
    <t>14W050RSW.jpg</t>
  </si>
  <si>
    <t xml:space="preserve">14KW .060 SOFT ROUND WIRE </t>
  </si>
  <si>
    <t>14W060RSW</t>
  </si>
  <si>
    <t>QD9EWLR9</t>
  </si>
  <si>
    <t>14W060RSW_171031-191250.jpg</t>
  </si>
  <si>
    <t xml:space="preserve">14KW .070 SOFT ROUND WIRE </t>
  </si>
  <si>
    <t>14W070RSW</t>
  </si>
  <si>
    <t>Y3622JYA</t>
  </si>
  <si>
    <t>14W070RSW_180924-133528.jpg</t>
  </si>
  <si>
    <t xml:space="preserve">14KW .080 SOFT ROUND WIRE </t>
  </si>
  <si>
    <t>14W080RSW</t>
  </si>
  <si>
    <t>VWAJ37YV</t>
  </si>
  <si>
    <t>14W080RSW_190912-135510_190912-141958.jpg</t>
  </si>
  <si>
    <t xml:space="preserve">14KW .080 HARD ROUND WIRE </t>
  </si>
  <si>
    <t>14W080RHW</t>
  </si>
  <si>
    <t>H3YPRZAX</t>
  </si>
  <si>
    <t>14W080RHW.jpg</t>
  </si>
  <si>
    <t xml:space="preserve">14KW .100 SOFT ROUND WIRE </t>
  </si>
  <si>
    <t>14W100RSW</t>
  </si>
  <si>
    <t>Y2UPTCJQ</t>
  </si>
  <si>
    <t>14W100RSW.jpg</t>
  </si>
  <si>
    <t xml:space="preserve">14KW .100 HARD ROUND WIRE </t>
  </si>
  <si>
    <t>14W100RHW</t>
  </si>
  <si>
    <t>J2A8P7P3</t>
  </si>
  <si>
    <t>14W100RHW.jpg</t>
  </si>
  <si>
    <t xml:space="preserve">14KW .125 SOFT ROUND WIRE </t>
  </si>
  <si>
    <t>14W125RSW</t>
  </si>
  <si>
    <t>6ZQLX7NP</t>
  </si>
  <si>
    <t>14W125RSW_171024-161217.jpg</t>
  </si>
  <si>
    <t xml:space="preserve">14KW .160 SOFT ROUND WIRE </t>
  </si>
  <si>
    <t>14W160RSW</t>
  </si>
  <si>
    <t>U0E1UKXL</t>
  </si>
  <si>
    <t>14W160RSW.jpg</t>
  </si>
  <si>
    <t xml:space="preserve">14KP .015 SOFT ROUND WIRE </t>
  </si>
  <si>
    <t>14P015RSW</t>
  </si>
  <si>
    <t>UHAR0338</t>
  </si>
  <si>
    <t>14P015RSW_161121-194422.jpg</t>
  </si>
  <si>
    <t xml:space="preserve">14KP. 020 SOFT ROUND WIRE </t>
  </si>
  <si>
    <t>14P020RSW</t>
  </si>
  <si>
    <t>9XE6UMWV</t>
  </si>
  <si>
    <t>14KP .040 SOFT ROUND WIRE</t>
  </si>
  <si>
    <t>14P040RSW</t>
  </si>
  <si>
    <t>NWVENJU4</t>
  </si>
  <si>
    <t>14KG .020 SOFT ROUND WIRE</t>
  </si>
  <si>
    <t>14G020RSW</t>
  </si>
  <si>
    <t>DWMFH920</t>
  </si>
  <si>
    <t>14G020RSW.jpg</t>
  </si>
  <si>
    <t>14KG .030 SOFT ROUND WIRE</t>
  </si>
  <si>
    <t>14G030RSW</t>
  </si>
  <si>
    <t>N9X1ED3V</t>
  </si>
  <si>
    <t>14G030RSW.jpg</t>
  </si>
  <si>
    <t>14KG .040 SOFT ROUND WIRE</t>
  </si>
  <si>
    <t>14G040RSW</t>
  </si>
  <si>
    <t>PZ8EAJYE</t>
  </si>
  <si>
    <t>14G040RSW.jpg</t>
  </si>
  <si>
    <t>14KG .080 SOFT ROUND WIRE</t>
  </si>
  <si>
    <t>14G080RSW</t>
  </si>
  <si>
    <t>U4NRZ7KY</t>
  </si>
  <si>
    <t>14G080RSW.jpg</t>
  </si>
  <si>
    <t>14KG .100 SOFT ROUND WIRE</t>
  </si>
  <si>
    <t>14G100RSW</t>
  </si>
  <si>
    <t>LNM0WW4Z</t>
  </si>
  <si>
    <t>14G100RSW.jpg</t>
  </si>
  <si>
    <t>14KY .050 SQUARE WIRE</t>
  </si>
  <si>
    <t>14Y050SQW</t>
  </si>
  <si>
    <t>53C1C2LV</t>
  </si>
  <si>
    <t>14Y050SQW_161201-145913_180207-143256_180207-145609.jpg</t>
  </si>
  <si>
    <t>14KY .060 SQUARE WIRE</t>
  </si>
  <si>
    <t>14Y060SQW</t>
  </si>
  <si>
    <t>EFC6CCJ0</t>
  </si>
  <si>
    <t>14Y060SQW_170525-201233_180207-150919.jpg</t>
  </si>
  <si>
    <t>14KY .075 SQUARE WIRE</t>
  </si>
  <si>
    <t>14Y075SQW</t>
  </si>
  <si>
    <t>LPLP525W</t>
  </si>
  <si>
    <t>14Y075SQW.jpg</t>
  </si>
  <si>
    <t>14KY .100 SQUARE WIRE</t>
  </si>
  <si>
    <t>14Y100SQW</t>
  </si>
  <si>
    <t>2RCJRCE3</t>
  </si>
  <si>
    <t>14Y100SQW.jpg</t>
  </si>
  <si>
    <t>14KY .125 SQUARE WIRE</t>
  </si>
  <si>
    <t>14Y125SQW</t>
  </si>
  <si>
    <t>J3LFFP8U</t>
  </si>
  <si>
    <t>14Y125SQW.jpg</t>
  </si>
  <si>
    <t>14KY .160 SQUARE WIRE</t>
  </si>
  <si>
    <t>14Y160SQW</t>
  </si>
  <si>
    <t>77D275LF</t>
  </si>
  <si>
    <t>14Y160SQW.jpg</t>
  </si>
  <si>
    <t>14KW .050 SQUARE WIRE</t>
  </si>
  <si>
    <t>14W050SQW</t>
  </si>
  <si>
    <t>D15N02TE</t>
  </si>
  <si>
    <t>14W050SQW.jpg</t>
  </si>
  <si>
    <t>14KW .060 SQUARE WIRE</t>
  </si>
  <si>
    <t>14W060SQW</t>
  </si>
  <si>
    <t>LTL26HL3</t>
  </si>
  <si>
    <t>14W060SQW.jpg</t>
  </si>
  <si>
    <t>14KW .075 SQUARE WIRE</t>
  </si>
  <si>
    <t>14W075SQW</t>
  </si>
  <si>
    <t>Z5YYJ2N1</t>
  </si>
  <si>
    <t>14W075SQW.jpg</t>
  </si>
  <si>
    <t>14KW .100 SQUARE WIRE</t>
  </si>
  <si>
    <t>14W100SQW</t>
  </si>
  <si>
    <t>6K4H1PF9</t>
  </si>
  <si>
    <t>14W100SQW.jpg</t>
  </si>
  <si>
    <t>14KW .160 SQUARE WIRE</t>
  </si>
  <si>
    <t>14W160SQW</t>
  </si>
  <si>
    <t>0JM2UKW3</t>
  </si>
  <si>
    <t>14W160SQW.jpg</t>
  </si>
  <si>
    <t>18KP .015 SOFT ROUND WIRE</t>
  </si>
  <si>
    <t>18P015RSW</t>
  </si>
  <si>
    <t>688CPP7M</t>
  </si>
  <si>
    <t>18P015RSW.jpg</t>
  </si>
  <si>
    <t>18KP .020 SOFT ROUND WIRE</t>
  </si>
  <si>
    <t>18P020RSW</t>
  </si>
  <si>
    <t>FWYATV48</t>
  </si>
  <si>
    <t>18P020RSW.jpg</t>
  </si>
  <si>
    <t>18KP .060 SOFT ROUND WIRE</t>
  </si>
  <si>
    <t>18P060RSW</t>
  </si>
  <si>
    <t>TT8WEH0E</t>
  </si>
  <si>
    <t>18P060RSW_170227-151547_171129-152527_190717-133408_220107-161834_220107-162601_220107-173836.jpg</t>
  </si>
  <si>
    <t>18KG .015 SOFT ROUND WIRE #38</t>
  </si>
  <si>
    <t>18G015RSW</t>
  </si>
  <si>
    <t>NW0CUVJE</t>
  </si>
  <si>
    <t>18G015RSW.jpg</t>
  </si>
  <si>
    <t>18KG .020 SOFT ROUND WIRE</t>
  </si>
  <si>
    <t>18G020RSW</t>
  </si>
  <si>
    <t>RYD55QKC</t>
  </si>
  <si>
    <t>18G020RSW.jpg</t>
  </si>
  <si>
    <t>18KG .040 SOFT ROUND WIRE #38</t>
  </si>
  <si>
    <t>18G040RSW</t>
  </si>
  <si>
    <t>TM8NU61D</t>
  </si>
  <si>
    <t>18G040RSW.jpg</t>
  </si>
  <si>
    <t>18KG .080 SOFT ROUND WIRE</t>
  </si>
  <si>
    <t>18G080RSW</t>
  </si>
  <si>
    <t>VV14A50L</t>
  </si>
  <si>
    <t>18G080RSW.jpg</t>
  </si>
  <si>
    <t>18KG .100 SOFT ROUND WIRE</t>
  </si>
  <si>
    <t>18G100RSW</t>
  </si>
  <si>
    <t>C7FF8JZN</t>
  </si>
  <si>
    <t>MYRON TOBACK INC.</t>
  </si>
  <si>
    <t>GOLD MARKET</t>
  </si>
  <si>
    <t>GOLD SCRAP</t>
  </si>
  <si>
    <t>per dwt</t>
  </si>
  <si>
    <t>SILVER MARKET</t>
  </si>
  <si>
    <t>SILVER SCRAP</t>
  </si>
  <si>
    <t>per oz</t>
  </si>
  <si>
    <t>PLATINUM MARKET</t>
  </si>
  <si>
    <t>PALLADIUM MARKET</t>
  </si>
  <si>
    <t>PLAT</t>
  </si>
  <si>
    <t xml:space="preserve">FINE </t>
  </si>
  <si>
    <t>PLATINUM WIRE &amp; SHEET</t>
  </si>
  <si>
    <t>FINE GOLD PER OZ</t>
  </si>
  <si>
    <t>5 dwt's or more of Platinum</t>
  </si>
  <si>
    <t xml:space="preserve">&lt; THAN 1 OZ </t>
  </si>
  <si>
    <t>PALLADIUM WIRE &amp; SHEET</t>
  </si>
  <si>
    <t>&lt;= PALLADIUM</t>
  </si>
  <si>
    <t>.</t>
  </si>
  <si>
    <t>DWT</t>
  </si>
  <si>
    <t>GRAM</t>
  </si>
  <si>
    <t>14K Rd Wire &amp; Sheet</t>
  </si>
  <si>
    <t>14K Sq, 1/2Rd, Tri, Disc</t>
  </si>
  <si>
    <t>14K Pin Tong, Spring Sheet, Reg Bezel</t>
  </si>
  <si>
    <t>14K Pink &amp; Green Round Wire</t>
  </si>
  <si>
    <t>14K Pink &amp; Green 1/2 Rd</t>
  </si>
  <si>
    <t>14K Channel Wire</t>
  </si>
  <si>
    <t>14K Tubing, Seated Bezel Wire</t>
  </si>
  <si>
    <t>14K Coiled Tubing</t>
  </si>
  <si>
    <t>14K Twisted Coil Tubing</t>
  </si>
  <si>
    <t>18K Rd Wire &amp; Sheet</t>
  </si>
  <si>
    <t>18K 1/2 Rd, Sq Wire &amp; Spring Sheet</t>
  </si>
  <si>
    <t>18K Channel Wire</t>
  </si>
  <si>
    <t>18K Tubing</t>
  </si>
  <si>
    <t>22K Rd Wire</t>
  </si>
  <si>
    <t>24K Cloisonne Wire</t>
  </si>
  <si>
    <t>14K DISCOUNT PRICE</t>
  </si>
  <si>
    <t>18K DISCOUNT PRICE</t>
  </si>
  <si>
    <t>1-5 DWT</t>
  </si>
  <si>
    <t>6-10 DWT</t>
  </si>
  <si>
    <t>11-25 DWT</t>
  </si>
  <si>
    <t xml:space="preserve">25 + DWT </t>
  </si>
  <si>
    <t>cash only</t>
  </si>
  <si>
    <t>10K DISCOUNT PRICE</t>
  </si>
  <si>
    <t>22K DISCOUNT PRICE</t>
  </si>
  <si>
    <t>25 + DWT</t>
  </si>
  <si>
    <t>CASH ONLY</t>
  </si>
  <si>
    <t>GOLD FILLED SCRAP</t>
  </si>
  <si>
    <t>S/S SHEET &amp; WIRE</t>
  </si>
  <si>
    <t>FINE SILVER SHEET &amp; WIRE</t>
  </si>
  <si>
    <t xml:space="preserve">G/F SHEET &amp; WIRE </t>
  </si>
  <si>
    <t>1-9 OZ</t>
  </si>
  <si>
    <t>1----9 OZ</t>
  </si>
  <si>
    <t xml:space="preserve">        OVER 5OZS</t>
  </si>
  <si>
    <t>10-49 OZ</t>
  </si>
  <si>
    <t>10---49 OZ</t>
  </si>
  <si>
    <t>50-99 OZ</t>
  </si>
  <si>
    <t>50--99 OZ</t>
  </si>
  <si>
    <t>100 &amp; UP</t>
  </si>
  <si>
    <t>ARGENTIUM SILVER</t>
  </si>
  <si>
    <t>ADD $2.00 MORE PER OUNCE</t>
  </si>
  <si>
    <t>S/S FANCY STOCK</t>
  </si>
  <si>
    <t xml:space="preserve">S/S SEATED BEZEL </t>
  </si>
  <si>
    <t>S/S BEADED WIRE</t>
  </si>
  <si>
    <t>S/S TUBING</t>
  </si>
  <si>
    <t>SQUARE</t>
  </si>
  <si>
    <t>S/S TUBING COILED</t>
  </si>
  <si>
    <t>1/2 ROUND</t>
  </si>
  <si>
    <t>S/S CHANNEL WIRE</t>
  </si>
  <si>
    <t xml:space="preserve">S/S TWISTED SOLID </t>
  </si>
  <si>
    <t>S/S TWISTED TUBING</t>
  </si>
  <si>
    <t>S/S CASTING GRAIN</t>
  </si>
  <si>
    <t>S/S DISCS &amp; WASHERS</t>
  </si>
  <si>
    <t>1-15 OZ</t>
  </si>
  <si>
    <t xml:space="preserve">           LABOR 1-5PC</t>
  </si>
  <si>
    <t>16-50 OZ</t>
  </si>
  <si>
    <t xml:space="preserve">           LABOR 6-100</t>
  </si>
  <si>
    <t>50 &amp; UP</t>
  </si>
  <si>
    <t>SILVER SOLDER</t>
  </si>
  <si>
    <t>F/S CASTING GRAIN</t>
  </si>
  <si>
    <t>SHEET &amp; WIRE</t>
  </si>
  <si>
    <t>CHOPPED SOLDER</t>
  </si>
  <si>
    <t>16--50 OZ</t>
  </si>
  <si>
    <t>POWDER SOLDER</t>
  </si>
  <si>
    <t>1 KILO 8% OVER</t>
  </si>
  <si>
    <t xml:space="preserve">PASTE SOLDER </t>
  </si>
  <si>
    <t>1 PC SHEET</t>
  </si>
  <si>
    <t>F/S CLOISONNE</t>
  </si>
  <si>
    <t>S/S SQUARE, TRI, 1/2RD &amp; FLAT</t>
  </si>
  <si>
    <t xml:space="preserve">F/S BEZEL WIRE </t>
  </si>
  <si>
    <t>100&amp; UP</t>
  </si>
  <si>
    <t>BRASS</t>
  </si>
  <si>
    <t>notes</t>
  </si>
  <si>
    <t>18W040SH_u1</t>
  </si>
  <si>
    <t>18W060SH_u1</t>
  </si>
  <si>
    <t>14Y050SH_u1</t>
  </si>
  <si>
    <t>10Y040SH_u1</t>
  </si>
  <si>
    <t>GF020SH_u1</t>
  </si>
  <si>
    <t>SS020SH_u3</t>
  </si>
  <si>
    <t>18W040SH_u3</t>
  </si>
  <si>
    <t>FS020SH_u1</t>
  </si>
  <si>
    <t>18Y015SH_u1</t>
  </si>
  <si>
    <t>BRASS040SH_u1</t>
  </si>
  <si>
    <t>14Y035SH_u1</t>
  </si>
  <si>
    <t>BSC-040SH_u1</t>
  </si>
  <si>
    <t>PT040SH_u1</t>
  </si>
  <si>
    <t>COPPER040SH_u1</t>
  </si>
  <si>
    <t>18P020SH_u1</t>
  </si>
  <si>
    <t>SS200SH_u1</t>
  </si>
  <si>
    <t>18W100SH_u1</t>
  </si>
  <si>
    <t>18W025SH_u1</t>
  </si>
  <si>
    <t>18G020SH_u1</t>
  </si>
  <si>
    <t>18G040SH_u1</t>
  </si>
  <si>
    <t>18WPD040SH_u1</t>
  </si>
  <si>
    <t>FS020SH_u2</t>
  </si>
  <si>
    <t>10Y030SH_u2</t>
  </si>
  <si>
    <t>14Y020SH_u1</t>
  </si>
  <si>
    <t>14Y025SH_u1</t>
  </si>
  <si>
    <t>14Y030SH_u1</t>
  </si>
  <si>
    <t>14Y040SH_u3</t>
  </si>
  <si>
    <t>14Y050SH_u2</t>
  </si>
  <si>
    <t>14Y125SH_u1</t>
  </si>
  <si>
    <t>14W040SH_u1</t>
  </si>
  <si>
    <t>SS020SH_u1</t>
  </si>
  <si>
    <t>14G020SH_u1</t>
  </si>
  <si>
    <t>18W040SH_u2</t>
  </si>
  <si>
    <t>SS025SH_u1</t>
  </si>
  <si>
    <t>SS040SH_u1</t>
  </si>
  <si>
    <t>BSC-032_u1</t>
  </si>
  <si>
    <t>18W025SH_u2</t>
  </si>
  <si>
    <t>18W030SH_u2</t>
  </si>
  <si>
    <t>18W040SH_u4</t>
  </si>
  <si>
    <t>18W060SH_u2</t>
  </si>
  <si>
    <t>18Y008SH_u1</t>
  </si>
  <si>
    <t>18Y010SH_u1</t>
  </si>
  <si>
    <t>18Y012SH_u1</t>
  </si>
  <si>
    <t>18Y015SH_u2</t>
  </si>
  <si>
    <t>18Y020SH_u1</t>
  </si>
  <si>
    <t>18Y025SH_u2</t>
  </si>
  <si>
    <t>18Y030SH_u1</t>
  </si>
  <si>
    <t>18Y040SH_u1</t>
  </si>
  <si>
    <t>18Y060SH_u1</t>
  </si>
  <si>
    <t>18Y080SH_u1</t>
  </si>
  <si>
    <t>SS050SH_u1</t>
  </si>
  <si>
    <t>14Y040SH_u1</t>
  </si>
  <si>
    <t>GF020SH_u2</t>
  </si>
  <si>
    <t>18W030SH_u1</t>
  </si>
  <si>
    <t>18Y025SH_u1</t>
  </si>
  <si>
    <t>SS020SH_u2</t>
  </si>
  <si>
    <t>SS040SH_u2</t>
  </si>
  <si>
    <t>14Y040SH_u2</t>
  </si>
  <si>
    <t>BSC-030SH_u1</t>
  </si>
  <si>
    <t>SS030SH_u1</t>
  </si>
  <si>
    <t>SS015SH_u1</t>
  </si>
  <si>
    <t>SS025SH_u2</t>
  </si>
  <si>
    <t>SS030SH_u2</t>
  </si>
  <si>
    <t>SS040SH_u3</t>
  </si>
  <si>
    <t>SS050SH_u2</t>
  </si>
  <si>
    <t>SS060SH_u1</t>
  </si>
  <si>
    <t>22Y010SH_u1</t>
  </si>
  <si>
    <t>22Y015SH_u1</t>
  </si>
  <si>
    <t>22Y020SH_u1</t>
  </si>
  <si>
    <t>22Y025SH_u1</t>
  </si>
  <si>
    <t>22Y030SH_u1</t>
  </si>
  <si>
    <t>22Y040SH_u1</t>
  </si>
  <si>
    <t>PT020SH_u1</t>
  </si>
  <si>
    <t>PT060SH_u1</t>
  </si>
  <si>
    <t>PT080SH_u1</t>
  </si>
  <si>
    <t>10Y030SH_u1</t>
  </si>
  <si>
    <t>FS015SH_u1</t>
  </si>
  <si>
    <t>FS020SH_u3</t>
  </si>
  <si>
    <t>FS030SH_u1</t>
  </si>
  <si>
    <t>FS040SH_u1</t>
  </si>
  <si>
    <t>FS050SH_u1</t>
  </si>
  <si>
    <t>18Y120TKRTU_u1</t>
  </si>
  <si>
    <t>IM-18Y065TKTU-18KY_u3</t>
  </si>
  <si>
    <t>18Y2MRTU_u1</t>
  </si>
  <si>
    <t>PT3.5TKRTU_u1</t>
  </si>
  <si>
    <t>IM-18Y065RTKTU-18KY_u2</t>
  </si>
  <si>
    <t>18Y060TNRTU_u1</t>
  </si>
  <si>
    <t>IM-18Y080TKTU-18KY_u3</t>
  </si>
  <si>
    <t>IM-18Y065TKTU-18KY_u2</t>
  </si>
  <si>
    <t>IM-18Y065TKTU-18KY_u1</t>
  </si>
  <si>
    <t>SS6TKSTU_u2</t>
  </si>
  <si>
    <t>IM-18Y080TKSTU-18KY_u1</t>
  </si>
  <si>
    <t>IM-18Y080TKSTU-18KY_u2</t>
  </si>
  <si>
    <t>IM-18Y080TKTU-18KY_u4</t>
  </si>
  <si>
    <t>IM-18Y080TKTU-18KY_u1</t>
  </si>
  <si>
    <t>IM-18Y080TKTU-18KY_u2</t>
  </si>
  <si>
    <t>SS100RTU_u1</t>
  </si>
  <si>
    <t>IM-18Y065RTKTU-18KY_u1</t>
  </si>
  <si>
    <t>18Y4TKRTU_u1</t>
  </si>
  <si>
    <t>SS1.0TNRTU_u1</t>
  </si>
  <si>
    <t>14Y050TNRTU_u1</t>
  </si>
  <si>
    <t>SS10TKRTU_u1</t>
  </si>
  <si>
    <t>14Y1.0TNRTU_u1</t>
  </si>
  <si>
    <t>18Y080TNRTU_u1</t>
  </si>
  <si>
    <t>18Y120TNRTU_u1</t>
  </si>
  <si>
    <t>IM-18Y065TKTU-18KY_u4</t>
  </si>
  <si>
    <t>SS6TKSTU_u1</t>
  </si>
  <si>
    <t>SS4CTMTU_u1</t>
  </si>
  <si>
    <t>IM-18Y080TKSTU-18KY_u3</t>
  </si>
  <si>
    <t>IM-18Y065TKTU-18KY_u5</t>
  </si>
  <si>
    <t>IM-18Y080TKSTU-18KY_u4</t>
  </si>
  <si>
    <t>14Y1.0TNRTU_u2</t>
  </si>
  <si>
    <t>18Y4TKRTU_u2</t>
  </si>
  <si>
    <t>14P160TNRTU_u1</t>
  </si>
  <si>
    <t>18Y030RSW_u4</t>
  </si>
  <si>
    <t>18Y035RSW_u2</t>
  </si>
  <si>
    <t>18Y040RSW_u6</t>
  </si>
  <si>
    <t>18Y050RSW_u2</t>
  </si>
  <si>
    <t>18Y060RSW_u3</t>
  </si>
  <si>
    <t>18Y080RSW_u4</t>
  </si>
  <si>
    <t>18Y100RSW_u2</t>
  </si>
  <si>
    <t>18Y125RSW_u1</t>
  </si>
  <si>
    <t>18Y160RSW_u2</t>
  </si>
  <si>
    <t>18WP040RSW_u2</t>
  </si>
  <si>
    <t>18W050RSW_u1</t>
  </si>
  <si>
    <t>18W060RSW_u1</t>
  </si>
  <si>
    <t>18W080RSW_u1</t>
  </si>
  <si>
    <t>18W100RSW_u1</t>
  </si>
  <si>
    <t>18W125RSW_u1</t>
  </si>
  <si>
    <t>18Y1.5HRW_u1</t>
  </si>
  <si>
    <t>18Y2.0HRW_u1</t>
  </si>
  <si>
    <t>18Y2.5HRW_u2</t>
  </si>
  <si>
    <t>18W2.5HRW_u1</t>
  </si>
  <si>
    <t>22Y015RSW_u1</t>
  </si>
  <si>
    <t>22Y020RSW_u1</t>
  </si>
  <si>
    <t>22Y025RSW_u2</t>
  </si>
  <si>
    <t>22Y030RSW_u2</t>
  </si>
  <si>
    <t>22Y035RSW_u1</t>
  </si>
  <si>
    <t>22Y040RSW_u1</t>
  </si>
  <si>
    <t>22Y050RSW_u1</t>
  </si>
  <si>
    <t>22Y060RSW_u1</t>
  </si>
  <si>
    <t>22Y080RSW_u1</t>
  </si>
  <si>
    <t>22Y100RSW_u1</t>
  </si>
  <si>
    <t>22Y125RSW_u1</t>
  </si>
  <si>
    <t>PT020RSW_u1</t>
  </si>
  <si>
    <t>PT025RSW_u2</t>
  </si>
  <si>
    <t>PT030RSW_u1</t>
  </si>
  <si>
    <t>PT050RSW_u4</t>
  </si>
  <si>
    <t>PT060RSW_u3</t>
  </si>
  <si>
    <t>14Y020PTW_u1</t>
  </si>
  <si>
    <t>14Y025PTW_u2</t>
  </si>
  <si>
    <t>14Y030PTW_u1</t>
  </si>
  <si>
    <t>14Y035PTW_u2</t>
  </si>
  <si>
    <t>14Y040PTW_u1</t>
  </si>
  <si>
    <t>14W025PTW_u1</t>
  </si>
  <si>
    <t>14W030PTW_u1</t>
  </si>
  <si>
    <t>18Y030PTW_u1</t>
  </si>
  <si>
    <t>18Y040PTW_u1</t>
  </si>
  <si>
    <t>18W035PTW_u1</t>
  </si>
  <si>
    <t>18W050PTW_u2</t>
  </si>
  <si>
    <t>18Y080RSW_u3</t>
  </si>
  <si>
    <t>10Y030RSW_u1</t>
  </si>
  <si>
    <t>10Y040RSW_u1</t>
  </si>
  <si>
    <t>GF020RSW_u1</t>
  </si>
  <si>
    <t>GF020RHW_u1</t>
  </si>
  <si>
    <t>GF030RSW_u1</t>
  </si>
  <si>
    <t>14Y010RSW_u2</t>
  </si>
  <si>
    <t>14Y008RSW_u1</t>
  </si>
  <si>
    <t>14W010RSW_u1</t>
  </si>
  <si>
    <t>18Y012RSW_u1</t>
  </si>
  <si>
    <t>18Y018RSW_u2</t>
  </si>
  <si>
    <t>18W010RSW_u1</t>
  </si>
  <si>
    <t>18P050RSW_u1</t>
  </si>
  <si>
    <t>18Y040SQW_u1</t>
  </si>
  <si>
    <t>SS1/4-125FW_u2</t>
  </si>
  <si>
    <t>PT010RSW_u1</t>
  </si>
  <si>
    <t>14P125RSW_u1</t>
  </si>
  <si>
    <t>18Y030RHW_u3</t>
  </si>
  <si>
    <t>14P010RSW_u1</t>
  </si>
  <si>
    <t>18Y100RHW_u1</t>
  </si>
  <si>
    <t>18Y080RHW_u3</t>
  </si>
  <si>
    <t>14G012RSW_u1</t>
  </si>
  <si>
    <t>18Y060SQW_u1</t>
  </si>
  <si>
    <t>SS030SQW_u1</t>
  </si>
  <si>
    <t>18G060RHW_u1</t>
  </si>
  <si>
    <t>18G060RSW_u1</t>
  </si>
  <si>
    <t>PT008RSW_u1</t>
  </si>
  <si>
    <t>18Y040RSW_u2</t>
  </si>
  <si>
    <t>14Y025RHW_u3</t>
  </si>
  <si>
    <t>14G050RHW_u1</t>
  </si>
  <si>
    <t>18Y050RSW_u1</t>
  </si>
  <si>
    <t>SS1/4-125FW_u1</t>
  </si>
  <si>
    <t>PT025RSW_u1</t>
  </si>
  <si>
    <t>SS090RSW_u1</t>
  </si>
  <si>
    <t>18Y080RHW_u1</t>
  </si>
  <si>
    <t>18Y060RSW_u1</t>
  </si>
  <si>
    <t>18Y030RSW_u3</t>
  </si>
  <si>
    <t>18WPD040RSW_u1</t>
  </si>
  <si>
    <t>14Y045RSW_u1</t>
  </si>
  <si>
    <t>PT060RSW_u2</t>
  </si>
  <si>
    <t>18W030RHW_u1</t>
  </si>
  <si>
    <t>18G050RHW_u1</t>
  </si>
  <si>
    <t>14Y080RXHW_u1</t>
  </si>
  <si>
    <t>PT050RSW_u2</t>
  </si>
  <si>
    <t>PT080RSW_u1</t>
  </si>
  <si>
    <t>10W018RSW_u1</t>
  </si>
  <si>
    <t>18W080PTW_u1</t>
  </si>
  <si>
    <t>18Y160RSW_u1</t>
  </si>
  <si>
    <t>PT3X2FW_u1</t>
  </si>
  <si>
    <t>18Y2.5HRW_u1</t>
  </si>
  <si>
    <t>18WPD100RSW_u1</t>
  </si>
  <si>
    <t>14Y040RSW_u1</t>
  </si>
  <si>
    <t>18Y050RHW_u2</t>
  </si>
  <si>
    <t>SS040RSW_u1</t>
  </si>
  <si>
    <t>10Y160RHW_u1</t>
  </si>
  <si>
    <t>14W025NCFRW_u1</t>
  </si>
  <si>
    <t>PT050RSW_u1</t>
  </si>
  <si>
    <t>14Y125RHW_u1</t>
  </si>
  <si>
    <t>SS045RHW_u1</t>
  </si>
  <si>
    <t>PT100SQW_u2</t>
  </si>
  <si>
    <t>18Y025PTW_u1</t>
  </si>
  <si>
    <t>PT040RHW_u1</t>
  </si>
  <si>
    <t>18Y080RSW_u2</t>
  </si>
  <si>
    <t>18Y080RSW_u1</t>
  </si>
  <si>
    <t>10Y125RSW_u1</t>
  </si>
  <si>
    <t>14KWPD040RSW_u3</t>
  </si>
  <si>
    <t>14Y040RHW_u1</t>
  </si>
  <si>
    <t>PT125RSW_u1</t>
  </si>
  <si>
    <t>CLOISWR_u1</t>
  </si>
  <si>
    <t>14Y070RHW_u1</t>
  </si>
  <si>
    <t>PT018RSW_u1</t>
  </si>
  <si>
    <t>10Y035RSW_u1</t>
  </si>
  <si>
    <t>18P025RHW_u1</t>
  </si>
  <si>
    <t>PT060RSW_u1</t>
  </si>
  <si>
    <t>18Y060RSW_u2</t>
  </si>
  <si>
    <t>SS500RSW_u1</t>
  </si>
  <si>
    <t>14KWPD040RSW_u1</t>
  </si>
  <si>
    <t>10Y025PTW_u1</t>
  </si>
  <si>
    <t>18W160RSW_u1</t>
  </si>
  <si>
    <t>18Y080SQW_u1</t>
  </si>
  <si>
    <t>14Y025RHW_u1</t>
  </si>
  <si>
    <t>14Y025RSW_u1</t>
  </si>
  <si>
    <t>SS4.0HRW_u1</t>
  </si>
  <si>
    <t>18Y3MMBZW_u1</t>
  </si>
  <si>
    <t>GFP040RSW_u1</t>
  </si>
  <si>
    <t>14W060RHW_u1</t>
  </si>
  <si>
    <t>PT035RSW_u1</t>
  </si>
  <si>
    <t>PT040RSW_u2</t>
  </si>
  <si>
    <t>PT012RSW_u1</t>
  </si>
  <si>
    <t>14Y015RSW_u1</t>
  </si>
  <si>
    <t>18Y018RSW_u1</t>
  </si>
  <si>
    <t>14Y010RSW_u1</t>
  </si>
  <si>
    <t>18Y100RSW_u1</t>
  </si>
  <si>
    <t>14Y050RSW_u1</t>
  </si>
  <si>
    <t>18W040RHW_u1</t>
  </si>
  <si>
    <t>SS100RSW_u1</t>
  </si>
  <si>
    <t>18Y060RHW_u1</t>
  </si>
  <si>
    <t>18Y020RSW_u2</t>
  </si>
  <si>
    <t>14KWPD040RSW_u4</t>
  </si>
  <si>
    <t>14Y060RHW_u1</t>
  </si>
  <si>
    <t>14Y025RHW_u2</t>
  </si>
  <si>
    <t>14Y035PTW_u1</t>
  </si>
  <si>
    <t>PT125SQW_u1</t>
  </si>
  <si>
    <t>18Y020RSW_u1</t>
  </si>
  <si>
    <t>22Y030RSW_u1</t>
  </si>
  <si>
    <t>14Y030RHW_u2</t>
  </si>
  <si>
    <t>22Y025RSW_u1</t>
  </si>
  <si>
    <t>14KWPD040RSW_u2</t>
  </si>
  <si>
    <t>SS4.0HRW_u2</t>
  </si>
  <si>
    <t>18W040RSW_u1</t>
  </si>
  <si>
    <t>18Y035RSW_u1</t>
  </si>
  <si>
    <t>18Y030RSW_u2</t>
  </si>
  <si>
    <t>18Y080RHW_u2</t>
  </si>
  <si>
    <t>18WP040RSW_u1</t>
  </si>
  <si>
    <t>14Y030RHW_u1</t>
  </si>
  <si>
    <t>GF030SQW_u1</t>
  </si>
  <si>
    <t>18Y040RSW_u1</t>
  </si>
  <si>
    <t>14Y080RSW_u1</t>
  </si>
  <si>
    <t>18Y030RHW_u1</t>
  </si>
  <si>
    <t>14Y025PTW_u1</t>
  </si>
  <si>
    <t>PT050RSW_u3</t>
  </si>
  <si>
    <t>18Y4.0BW_u1</t>
  </si>
  <si>
    <t>18Y040RSW_u3</t>
  </si>
  <si>
    <t>18W050PTW_u1</t>
  </si>
  <si>
    <t>14Y030RSW_u1</t>
  </si>
  <si>
    <t>SS1.5HRW_u1</t>
  </si>
  <si>
    <t>14Y025SQW_u1</t>
  </si>
  <si>
    <t>GFP060RSW_u1</t>
  </si>
  <si>
    <t>18Y030RHW_u2</t>
  </si>
  <si>
    <t>18Y040RSW_u5</t>
  </si>
  <si>
    <t>18WPD040SH_u2</t>
  </si>
  <si>
    <t>18Y040RHW_u1</t>
  </si>
  <si>
    <t>18Y050RHW_u1</t>
  </si>
  <si>
    <t>PT040RSW_u1</t>
  </si>
  <si>
    <t>PT100SQW_u1</t>
  </si>
  <si>
    <t>18WPD100RSW_u2</t>
  </si>
  <si>
    <t>18Y040RSW_u4</t>
  </si>
  <si>
    <t>18Y030RSW_u1</t>
  </si>
  <si>
    <t>SS015RSW_u1</t>
  </si>
  <si>
    <t>SS020RSW_u1</t>
  </si>
  <si>
    <t>SS025RSW_u1</t>
  </si>
  <si>
    <t>SS030RSW_u1</t>
  </si>
  <si>
    <t>SS050RSW_u1</t>
  </si>
  <si>
    <t>SS060RSW_u1</t>
  </si>
  <si>
    <t>SS080RSW_u1</t>
  </si>
  <si>
    <t>SS090RSW_u2</t>
  </si>
  <si>
    <t>SS100RSW_u2</t>
  </si>
  <si>
    <t>SS125RHW_u1</t>
  </si>
  <si>
    <t>FS100RSW_u1</t>
  </si>
  <si>
    <t>SS1.5HRW_u2</t>
  </si>
  <si>
    <t>SS2.5HRW_u1</t>
  </si>
  <si>
    <t>SS4.0HRW_u3</t>
  </si>
  <si>
    <t>SS5.0HRW_u1</t>
  </si>
  <si>
    <t>SS060SQW_u1</t>
  </si>
  <si>
    <t>SS100SQW_u1</t>
  </si>
  <si>
    <t>SS2.0BDW_u1</t>
  </si>
  <si>
    <t>14Y015RSW_u2</t>
  </si>
  <si>
    <t>14Y015RHW_u1</t>
  </si>
  <si>
    <t>14Y020RSW_u1</t>
  </si>
  <si>
    <t>14Y020RHW_u1</t>
  </si>
  <si>
    <t>14Y025RHW_u4</t>
  </si>
  <si>
    <t>14Y030RSW_u2</t>
  </si>
  <si>
    <t>14Y030RHW_u3</t>
  </si>
  <si>
    <t>14Y035RSW_u1</t>
  </si>
  <si>
    <t>14Y040RSW_u2</t>
  </si>
  <si>
    <t>14Y040RHW_u2</t>
  </si>
  <si>
    <t>14Y045RSW_u2</t>
  </si>
  <si>
    <t>14Y045RHW_u1</t>
  </si>
  <si>
    <t>14Y050RW_u1</t>
  </si>
  <si>
    <t>14Y050RHW_u1</t>
  </si>
  <si>
    <t>14Y060RSW_u1</t>
  </si>
  <si>
    <t>14Y060RHW_u2</t>
  </si>
  <si>
    <t>14Y080RSW_u2</t>
  </si>
  <si>
    <t>14Y080RHW_u1</t>
  </si>
  <si>
    <t>14Y100RSW_u1</t>
  </si>
  <si>
    <t>14Y4.0HRW_u1</t>
  </si>
  <si>
    <t>14G4.0HRW_u1</t>
  </si>
  <si>
    <t>14W025RHW_u1</t>
  </si>
  <si>
    <t>14W030RHW_u1</t>
  </si>
  <si>
    <t>14W040RHW_u1</t>
  </si>
  <si>
    <t>14W045RHW_u1</t>
  </si>
  <si>
    <t>14W050RHW_u1</t>
  </si>
  <si>
    <t>14P030RSW_u1</t>
  </si>
  <si>
    <t>14P060RSW_u1</t>
  </si>
  <si>
    <t>14P080RSW_u1</t>
  </si>
  <si>
    <t>14P100RSW_u1</t>
  </si>
  <si>
    <t>14G060RSW_u1</t>
  </si>
  <si>
    <t>14Y040SQW_u1</t>
  </si>
  <si>
    <t>18P030RSW_u1</t>
  </si>
  <si>
    <t>18P040RSW_u1</t>
  </si>
  <si>
    <t>18P100RSW_u1</t>
  </si>
  <si>
    <t>18G060RSW_u2</t>
  </si>
  <si>
    <t>18Y015RSW_u1</t>
  </si>
  <si>
    <t>18Y020RSW_u3</t>
  </si>
  <si>
    <t>18Y025RSW_u1</t>
  </si>
  <si>
    <t>SECS</t>
  </si>
  <si>
    <t>SHCS</t>
  </si>
  <si>
    <t>SMCS</t>
  </si>
  <si>
    <t>SSITPRS</t>
  </si>
  <si>
    <t>SS56PS</t>
  </si>
  <si>
    <t>SS65PRS</t>
  </si>
  <si>
    <t>SS65PS</t>
  </si>
  <si>
    <t>SS70PRS</t>
  </si>
  <si>
    <t>SS70PS</t>
  </si>
  <si>
    <t>SS75PRS</t>
  </si>
  <si>
    <t>SS75PS</t>
  </si>
  <si>
    <t>SSITPS</t>
  </si>
  <si>
    <t>SEPS</t>
  </si>
  <si>
    <t>SHPS</t>
  </si>
  <si>
    <t>SITPS</t>
  </si>
  <si>
    <t>SXESS</t>
  </si>
  <si>
    <t>SESS</t>
  </si>
  <si>
    <t>SESS_u1</t>
  </si>
  <si>
    <t>SHSS</t>
  </si>
  <si>
    <t>SMSS</t>
  </si>
  <si>
    <t>SITSS</t>
  </si>
  <si>
    <t>SS045SW</t>
  </si>
  <si>
    <t>SXEWS</t>
  </si>
  <si>
    <t>SEWS</t>
  </si>
  <si>
    <t>SEWS_u1</t>
  </si>
  <si>
    <t>SHWS</t>
  </si>
  <si>
    <t>SMWS</t>
  </si>
  <si>
    <t>SMWS_u1</t>
  </si>
  <si>
    <t>SS080PTW</t>
  </si>
  <si>
    <t>4Z8UYW90</t>
  </si>
  <si>
    <t>14P0JKR4</t>
  </si>
  <si>
    <t>J3LTRD8F</t>
  </si>
  <si>
    <t>H746P9F3</t>
  </si>
  <si>
    <t>NFQK54R7</t>
  </si>
  <si>
    <t>COPPER060SH</t>
  </si>
  <si>
    <t>AFEMU8NH</t>
  </si>
  <si>
    <t>V0C5LNP4</t>
  </si>
  <si>
    <t>0TWU9HYV</t>
  </si>
  <si>
    <t>YA9P5KMR</t>
  </si>
  <si>
    <t>COPPER050SH</t>
  </si>
  <si>
    <t>TVYCEH1R</t>
  </si>
  <si>
    <t>4WK9WZNV</t>
  </si>
  <si>
    <t>P3PYXVVA</t>
  </si>
  <si>
    <t>F0W7HL81</t>
  </si>
  <si>
    <t>7RQLZ475</t>
  </si>
  <si>
    <t>2N4A8L2Q</t>
  </si>
  <si>
    <t>4F6RQLH0</t>
  </si>
  <si>
    <t>Y0V926EZ</t>
  </si>
  <si>
    <t>2MY53337</t>
  </si>
  <si>
    <t>Y022MCT9</t>
  </si>
  <si>
    <t>C7T1P9TP</t>
  </si>
  <si>
    <t>T1QUC7K0</t>
  </si>
  <si>
    <t>AWL18X6N</t>
  </si>
  <si>
    <t>UVX6QK8U</t>
  </si>
  <si>
    <t>Q1HYH23X</t>
  </si>
  <si>
    <t>Q2Y6QF73</t>
  </si>
  <si>
    <t>HKZVTUFF</t>
  </si>
  <si>
    <t>3HYJR1H0</t>
  </si>
  <si>
    <t>CCCRFJWZ</t>
  </si>
  <si>
    <t>D79J3L13</t>
  </si>
  <si>
    <t>7QN4TDE4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</si>
</sst>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"/>
    <numFmt numFmtId="166" formatCode="0.0000%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4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4"/>
      <name val="LongIsland"/>
    </font>
    <font>
      <sz val="10"/>
      <name val="LongIsland"/>
    </font>
    <font>
      <b/>
      <sz val="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9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8" fillId="0" borderId="0"/>
    <xf numFmtId="43" fontId="1" fillId="0" borderId="0"/>
    <xf numFmtId="0" fontId="28" fillId="0" borderId="0"/>
    <xf numFmtId="43" fontId="2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wrapText="1"/>
    </xf>
    <xf numFmtId="0" fontId="18" fillId="0" borderId="0" xfId="43"/>
    <xf numFmtId="14" fontId="20" fillId="0" borderId="0" xfId="44" applyNumberFormat="1" applyFont="1"/>
    <xf numFmtId="0" fontId="18" fillId="0" borderId="0" xfId="44" applyNumberFormat="1"/>
    <xf numFmtId="7" fontId="18" fillId="0" borderId="0" xfId="44" applyNumberFormat="1"/>
    <xf numFmtId="0" fontId="21" fillId="0" borderId="10" xfId="44" applyNumberFormat="1" applyFont="1" applyBorder="1"/>
    <xf numFmtId="7" fontId="21" fillId="0" borderId="10" xfId="44" applyNumberFormat="1" applyFont="1" applyBorder="1"/>
    <xf numFmtId="0" fontId="22" fillId="0" borderId="0" xfId="44" applyNumberFormat="1" applyFont="1"/>
    <xf numFmtId="7" fontId="22" fillId="0" borderId="0" xfId="44" applyNumberFormat="1" applyFont="1"/>
    <xf numFmtId="0" fontId="21" fillId="0" borderId="10" xfId="44" applyNumberFormat="1" applyFont="1" applyBorder="1" applyAlignment="1">
      <alignment horizontal="center"/>
    </xf>
    <xf numFmtId="0" fontId="21" fillId="0" borderId="11" xfId="44" applyNumberFormat="1" applyFont="1" applyBorder="1"/>
    <xf numFmtId="7" fontId="21" fillId="0" borderId="11" xfId="44" applyNumberFormat="1" applyFont="1" applyBorder="1"/>
    <xf numFmtId="7" fontId="22" fillId="0" borderId="0" xfId="44" applyNumberFormat="1" applyFont="1" applyAlignment="1">
      <alignment horizontal="center"/>
    </xf>
    <xf numFmtId="0" fontId="21" fillId="0" borderId="11" xfId="44" applyNumberFormat="1" applyFont="1" applyBorder="1" applyAlignment="1">
      <alignment horizontal="center"/>
    </xf>
    <xf numFmtId="7" fontId="21" fillId="0" borderId="0" xfId="44" applyNumberFormat="1" applyFont="1"/>
    <xf numFmtId="0" fontId="21" fillId="0" borderId="0" xfId="44" applyNumberFormat="1" applyFont="1"/>
    <xf numFmtId="0" fontId="21" fillId="0" borderId="12" xfId="44" applyNumberFormat="1" applyFont="1" applyBorder="1"/>
    <xf numFmtId="0" fontId="18" fillId="0" borderId="10" xfId="44" applyNumberFormat="1" applyBorder="1"/>
    <xf numFmtId="164" fontId="21" fillId="0" borderId="0" xfId="44" applyNumberFormat="1" applyFont="1" applyAlignment="1">
      <alignment horizontal="right"/>
    </xf>
    <xf numFmtId="0" fontId="21" fillId="0" borderId="0" xfId="44" applyNumberFormat="1" applyFont="1" applyAlignment="1">
      <alignment horizontal="center"/>
    </xf>
    <xf numFmtId="164" fontId="21" fillId="0" borderId="10" xfId="44" applyNumberFormat="1" applyFont="1" applyBorder="1" applyAlignment="1">
      <alignment horizontal="right"/>
    </xf>
    <xf numFmtId="0" fontId="18" fillId="0" borderId="11" xfId="44" applyNumberFormat="1" applyBorder="1"/>
    <xf numFmtId="0" fontId="18" fillId="0" borderId="13" xfId="44" applyNumberFormat="1" applyBorder="1"/>
    <xf numFmtId="0" fontId="20" fillId="0" borderId="0" xfId="44" applyNumberFormat="1" applyFont="1"/>
    <xf numFmtId="7" fontId="20" fillId="0" borderId="0" xfId="44" applyNumberFormat="1" applyFont="1"/>
    <xf numFmtId="0" fontId="23" fillId="0" borderId="0" xfId="44" applyNumberFormat="1" applyFont="1" applyAlignment="1">
      <alignment horizontal="right"/>
    </xf>
    <xf numFmtId="0" fontId="24" fillId="0" borderId="0" xfId="44" applyNumberFormat="1" applyFont="1" applyAlignment="1">
      <alignment horizontal="center"/>
    </xf>
    <xf numFmtId="0" fontId="25" fillId="0" borderId="14" xfId="44" applyNumberFormat="1" applyFont="1" applyBorder="1"/>
    <xf numFmtId="7" fontId="25" fillId="0" borderId="14" xfId="44" applyNumberFormat="1" applyFont="1" applyBorder="1"/>
    <xf numFmtId="7" fontId="24" fillId="0" borderId="0" xfId="43" applyNumberFormat="1" applyFont="1"/>
    <xf numFmtId="0" fontId="25" fillId="0" borderId="0" xfId="44" applyNumberFormat="1" applyFont="1"/>
    <xf numFmtId="7" fontId="25" fillId="0" borderId="0" xfId="44" applyNumberFormat="1" applyFont="1"/>
    <xf numFmtId="0" fontId="24" fillId="0" borderId="0" xfId="43" applyFont="1"/>
    <xf numFmtId="0" fontId="20" fillId="0" borderId="14" xfId="44" applyNumberFormat="1" applyFont="1" applyBorder="1"/>
    <xf numFmtId="7" fontId="20" fillId="0" borderId="14" xfId="44" applyNumberFormat="1" applyFont="1" applyBorder="1"/>
    <xf numFmtId="0" fontId="18" fillId="0" borderId="15" xfId="44" applyNumberFormat="1" applyBorder="1"/>
    <xf numFmtId="0" fontId="26" fillId="0" borderId="15" xfId="44" applyNumberFormat="1" applyFont="1" applyBorder="1"/>
    <xf numFmtId="0" fontId="21" fillId="0" borderId="15" xfId="44" applyNumberFormat="1" applyFont="1" applyBorder="1"/>
    <xf numFmtId="0" fontId="27" fillId="0" borderId="15" xfId="44" applyNumberFormat="1" applyFont="1" applyBorder="1"/>
    <xf numFmtId="7" fontId="21" fillId="0" borderId="15" xfId="44" applyNumberFormat="1" applyFont="1" applyBorder="1"/>
    <xf numFmtId="0" fontId="23" fillId="0" borderId="0" xfId="44" applyNumberFormat="1" applyFont="1" applyAlignment="1">
      <alignment horizontal="left"/>
    </xf>
    <xf numFmtId="0" fontId="24" fillId="0" borderId="0" xfId="44" applyNumberFormat="1" applyFont="1" applyAlignment="1">
      <alignment horizontal="right"/>
    </xf>
    <xf numFmtId="0" fontId="23" fillId="0" borderId="0" xfId="44" applyNumberFormat="1" applyFont="1"/>
    <xf numFmtId="7" fontId="23" fillId="0" borderId="0" xfId="44" applyNumberFormat="1" applyFont="1"/>
    <xf numFmtId="0" fontId="24" fillId="0" borderId="0" xfId="43" applyFont="1" applyAlignment="1">
      <alignment horizontal="right"/>
    </xf>
    <xf numFmtId="7" fontId="24" fillId="0" borderId="0" xfId="44" applyNumberFormat="1" applyFont="1"/>
    <xf numFmtId="0" fontId="25" fillId="0" borderId="16" xfId="44" applyNumberFormat="1" applyFont="1" applyBorder="1"/>
    <xf numFmtId="7" fontId="25" fillId="0" borderId="16" xfId="44" applyNumberFormat="1" applyFont="1" applyBorder="1"/>
    <xf numFmtId="0" fontId="23" fillId="0" borderId="15" xfId="44" applyNumberFormat="1" applyFont="1" applyBorder="1"/>
    <xf numFmtId="0" fontId="25" fillId="0" borderId="15" xfId="44" applyNumberFormat="1" applyFont="1" applyBorder="1"/>
    <xf numFmtId="7" fontId="23" fillId="0" borderId="15" xfId="44" applyNumberFormat="1" applyFont="1" applyBorder="1"/>
    <xf numFmtId="8" fontId="24" fillId="0" borderId="15" xfId="44" applyNumberFormat="1" applyFont="1" applyBorder="1"/>
    <xf numFmtId="7" fontId="25" fillId="0" borderId="15" xfId="44" applyNumberFormat="1" applyFont="1" applyBorder="1"/>
    <xf numFmtId="0" fontId="18" fillId="0" borderId="17" xfId="44" applyNumberFormat="1" applyBorder="1"/>
    <xf numFmtId="0" fontId="24" fillId="0" borderId="17" xfId="44" applyNumberFormat="1" applyFont="1" applyBorder="1"/>
    <xf numFmtId="7" fontId="18" fillId="0" borderId="17" xfId="44" applyNumberFormat="1" applyBorder="1"/>
    <xf numFmtId="0" fontId="24" fillId="0" borderId="0" xfId="44" applyNumberFormat="1" applyFont="1"/>
    <xf numFmtId="7" fontId="24" fillId="0" borderId="15" xfId="44" applyNumberFormat="1" applyFont="1" applyBorder="1"/>
    <xf numFmtId="7" fontId="20" fillId="0" borderId="15" xfId="44" applyNumberFormat="1" applyFont="1" applyBorder="1"/>
    <xf numFmtId="0" fontId="20" fillId="0" borderId="15" xfId="44" applyNumberFormat="1" applyFont="1" applyBorder="1"/>
    <xf numFmtId="0" fontId="25" fillId="0" borderId="18" xfId="44" applyNumberFormat="1" applyFont="1" applyBorder="1"/>
    <xf numFmtId="7" fontId="25" fillId="0" borderId="18" xfId="44" applyNumberFormat="1" applyFont="1" applyBorder="1"/>
    <xf numFmtId="164" fontId="25" fillId="0" borderId="0" xfId="44" applyNumberFormat="1" applyFont="1"/>
    <xf numFmtId="164" fontId="24" fillId="0" borderId="0" xfId="44" applyNumberFormat="1" applyFont="1"/>
    <xf numFmtId="164" fontId="25" fillId="0" borderId="0" xfId="44" applyNumberFormat="1" applyFont="1" applyAlignment="1">
      <alignment horizontal="center" vertical="center"/>
    </xf>
    <xf numFmtId="164" fontId="24" fillId="0" borderId="0" xfId="43" applyNumberFormat="1" applyFont="1"/>
    <xf numFmtId="43" fontId="21" fillId="0" borderId="0" xfId="44" applyFont="1"/>
    <xf numFmtId="164" fontId="21" fillId="0" borderId="0" xfId="44" applyNumberFormat="1" applyFont="1"/>
    <xf numFmtId="165" fontId="18" fillId="0" borderId="0" xfId="43" applyNumberFormat="1"/>
    <xf numFmtId="43" fontId="21" fillId="0" borderId="0" xfId="44" applyFont="1" applyAlignment="1">
      <alignment horizontal="center"/>
    </xf>
    <xf numFmtId="4" fontId="21" fillId="0" borderId="0" xfId="44" applyNumberFormat="1" applyFont="1"/>
    <xf numFmtId="165" fontId="28" fillId="0" borderId="0" xfId="43" applyNumberFormat="1" applyFont="1"/>
    <xf numFmtId="164" fontId="28" fillId="0" borderId="0" xfId="43" applyNumberFormat="1" applyFont="1"/>
    <xf numFmtId="4" fontId="18" fillId="0" borderId="0" xfId="43" applyNumberFormat="1"/>
    <xf numFmtId="0" fontId="29" fillId="0" borderId="0" xfId="43" applyFont="1"/>
    <xf numFmtId="164" fontId="29" fillId="0" borderId="0" xfId="43" applyNumberFormat="1" applyFont="1"/>
    <xf numFmtId="4" fontId="29" fillId="0" borderId="0" xfId="43" applyNumberFormat="1" applyFont="1"/>
    <xf numFmtId="165" fontId="30" fillId="0" borderId="0" xfId="43" applyNumberFormat="1" applyFont="1"/>
    <xf numFmtId="164" fontId="18" fillId="0" borderId="0" xfId="43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43" fontId="21" fillId="0" borderId="0" xfId="45" applyFont="1"/>
    <xf numFmtId="164" fontId="21" fillId="0" borderId="0" xfId="45" applyNumberFormat="1" applyFont="1"/>
    <xf numFmtId="43" fontId="21" fillId="0" borderId="0" xfId="45" applyFont="1" applyAlignment="1">
      <alignment horizontal="center"/>
    </xf>
    <xf numFmtId="164" fontId="31" fillId="0" borderId="0" xfId="45" quotePrefix="1" applyNumberFormat="1" applyFont="1"/>
    <xf numFmtId="4" fontId="21" fillId="0" borderId="0" xfId="45" applyNumberFormat="1" applyFont="1"/>
    <xf numFmtId="165" fontId="28" fillId="0" borderId="0" xfId="0" applyNumberFormat="1" applyFont="1"/>
    <xf numFmtId="164" fontId="28" fillId="0" borderId="0" xfId="0" applyNumberFormat="1" applyFont="1"/>
    <xf numFmtId="0" fontId="29" fillId="0" borderId="0" xfId="0" applyFont="1"/>
    <xf numFmtId="164" fontId="29" fillId="0" borderId="0" xfId="0" applyNumberFormat="1" applyFont="1"/>
    <xf numFmtId="4" fontId="29" fillId="0" borderId="0" xfId="0" applyNumberFormat="1" applyFont="1"/>
    <xf numFmtId="165" fontId="30" fillId="0" borderId="0" xfId="0" applyNumberFormat="1" applyFont="1"/>
    <xf numFmtId="8" fontId="0" fillId="0" borderId="0" xfId="0" applyNumberFormat="1"/>
    <xf numFmtId="7" fontId="0" fillId="0" borderId="0" xfId="0" applyNumberFormat="1"/>
    <xf numFmtId="44" fontId="0" fillId="0" borderId="0" xfId="1" applyFont="1"/>
    <xf numFmtId="14" fontId="0" fillId="0" borderId="0" xfId="0" applyNumberFormat="1"/>
    <xf numFmtId="2" fontId="0" fillId="0" borderId="0" xfId="0" applyNumberFormat="1"/>
    <xf numFmtId="166" fontId="18" fillId="0" borderId="0" xfId="48" applyNumberFormat="1" applyFont="1"/>
    <xf numFmtId="0" fontId="19" fillId="0" borderId="0" xfId="44" applyNumberFormat="1" applyFont="1" applyAlignment="1">
      <alignment horizontal="center"/>
    </xf>
    <xf numFmtId="0" fontId="18" fillId="0" borderId="0" xfId="43"/>
  </cellXfs>
  <cellStyles count="49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2" xfId="45" xr:uid="{0DDD20C7-D3A2-4E2C-98EC-9172CFC1FD1F}"/>
    <cellStyle name="Comma 2 2" xfId="44" xr:uid="{84429747-C604-4BA6-A440-351C916E5B6C}"/>
    <cellStyle name="Comma 2 3" xfId="47" xr:uid="{F90768D0-CBDA-416C-AC42-DE8265EA4901}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6" xr:uid="{FA5136F7-FC5B-45BB-9995-B44DAF1A6A38}"/>
    <cellStyle name="Normal 2 2" xfId="43" xr:uid="{0F7993EF-64DA-4092-9C36-D78A0983A174}"/>
    <cellStyle name="Note" xfId="16" builtinId="10" customBuiltin="1"/>
    <cellStyle name="Output" xfId="11" builtinId="21" customBuiltin="1"/>
    <cellStyle name="Percent" xfId="48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79A4-AC87-429A-8EEE-6019162DBB56}">
  <dimension ref="A1:E1740"/>
  <sheetViews>
    <sheetView tabSelected="1" topLeftCell="A1676" workbookViewId="0">
      <selection activeCell="A1699" sqref="A1699"/>
    </sheetView>
  </sheetViews>
  <sheetFormatPr defaultRowHeight="15"/>
  <cols>
    <col min="3" max="3" width="9.140625" style="98"/>
    <col min="4" max="4" width="9.42578125" bestFit="1" customWidth="1"/>
  </cols>
  <sheetData>
    <row r="1" spans="1:5">
      <c r="A1" t="s">
        <v>3</v>
      </c>
      <c r="B1" t="s">
        <v>7</v>
      </c>
      <c r="C1" s="98" t="s">
        <v>2</v>
      </c>
      <c r="D1" t="s">
        <v>1</v>
      </c>
      <c r="E1" t="s">
        <v>4996</v>
      </c>
    </row>
    <row r="2" spans="1:5">
      <c r="A2" t="s">
        <v>11</v>
      </c>
      <c r="B2" t="s">
        <v>4997</v>
      </c>
      <c r="C2" s="98">
        <f>VLOOKUP(A2,References!$C:$D,2,0)</f>
        <v>231.9597989949749</v>
      </c>
    </row>
    <row r="3" spans="1:5">
      <c r="A3" t="s">
        <v>16</v>
      </c>
      <c r="B3" t="s">
        <v>16</v>
      </c>
      <c r="C3" s="98">
        <f>VLOOKUP(A3,References!$C:$D,2,0)</f>
        <v>191.53526970954357</v>
      </c>
    </row>
    <row r="4" spans="1:5">
      <c r="A4" t="s">
        <v>20</v>
      </c>
      <c r="B4" t="s">
        <v>20</v>
      </c>
      <c r="C4" s="98">
        <f>VLOOKUP(A4,References!$C:$D,2,0)</f>
        <v>144.25</v>
      </c>
    </row>
    <row r="5" spans="1:5">
      <c r="A5" t="s">
        <v>25</v>
      </c>
      <c r="B5" t="s">
        <v>25</v>
      </c>
      <c r="C5" s="98">
        <f>VLOOKUP(A5,References!$C:$D,2,0)</f>
        <v>231.9597989949749</v>
      </c>
    </row>
    <row r="6" spans="1:5">
      <c r="A6" t="s">
        <v>28</v>
      </c>
      <c r="B6" t="s">
        <v>4998</v>
      </c>
      <c r="C6" s="98">
        <f>VLOOKUP(A6,References!$C:$D,2,0)</f>
        <v>231.9597989949749</v>
      </c>
    </row>
    <row r="7" spans="1:5">
      <c r="A7" t="s">
        <v>11</v>
      </c>
      <c r="B7" t="s">
        <v>11</v>
      </c>
      <c r="C7" s="98">
        <f>VLOOKUP(A7,References!$C:$D,2,0)</f>
        <v>231.9597989949749</v>
      </c>
    </row>
    <row r="8" spans="1:5">
      <c r="A8" t="s">
        <v>30</v>
      </c>
      <c r="B8" t="s">
        <v>30</v>
      </c>
      <c r="C8" s="98">
        <f>VLOOKUP(A8,References!$C:$D,2,0)</f>
        <v>231.9597989949749</v>
      </c>
    </row>
    <row r="9" spans="1:5">
      <c r="A9" t="s">
        <v>33</v>
      </c>
      <c r="B9" t="s">
        <v>33</v>
      </c>
      <c r="C9" s="98">
        <f>VLOOKUP(A9,References!$C:$D,2,0)</f>
        <v>231.9597989949749</v>
      </c>
    </row>
    <row r="10" spans="1:5">
      <c r="A10" t="s">
        <v>37</v>
      </c>
      <c r="B10" t="s">
        <v>37</v>
      </c>
      <c r="C10" s="98">
        <f>VLOOKUP(A10,References!$C:$D,2,0)</f>
        <v>2</v>
      </c>
    </row>
    <row r="11" spans="1:5">
      <c r="A11" t="s">
        <v>41</v>
      </c>
      <c r="B11" t="s">
        <v>41</v>
      </c>
      <c r="C11" s="98">
        <f>VLOOKUP(A11,References!$C:$D,2,0)</f>
        <v>106.69781931464175</v>
      </c>
    </row>
    <row r="12" spans="1:5">
      <c r="A12" t="s">
        <v>44</v>
      </c>
      <c r="B12" t="s">
        <v>4999</v>
      </c>
      <c r="C12" s="98">
        <f>VLOOKUP(A12,References!$C:$D,2,0)</f>
        <v>188.40816326530611</v>
      </c>
    </row>
    <row r="13" spans="1:5">
      <c r="A13" t="s">
        <v>46</v>
      </c>
      <c r="B13" t="s">
        <v>46</v>
      </c>
      <c r="C13" s="98">
        <f>VLOOKUP(A13,References!$C:$D,2,0)</f>
        <v>231.9597989949749</v>
      </c>
    </row>
    <row r="14" spans="1:5">
      <c r="A14" t="s">
        <v>50</v>
      </c>
      <c r="B14" t="s">
        <v>50</v>
      </c>
      <c r="C14" s="98">
        <f>VLOOKUP(A14,References!$C:$D,2,0)</f>
        <v>144.25</v>
      </c>
    </row>
    <row r="15" spans="1:5">
      <c r="A15" t="s">
        <v>54</v>
      </c>
      <c r="B15" t="s">
        <v>54</v>
      </c>
      <c r="C15" s="98">
        <f>VLOOKUP(A15,References!$C:$D,2,0)</f>
        <v>231.9597989949749</v>
      </c>
    </row>
    <row r="16" spans="1:5">
      <c r="A16" t="s">
        <v>58</v>
      </c>
      <c r="B16" t="s">
        <v>58</v>
      </c>
      <c r="C16" s="98">
        <f>VLOOKUP(A16,References!$C:$D,2,0)</f>
        <v>144.25</v>
      </c>
    </row>
    <row r="17" spans="1:3">
      <c r="A17" t="s">
        <v>62</v>
      </c>
      <c r="B17" t="s">
        <v>62</v>
      </c>
      <c r="C17" s="98">
        <f>VLOOKUP(A17,References!$C:$D,2,0)</f>
        <v>144.25</v>
      </c>
    </row>
    <row r="18" spans="1:3">
      <c r="A18" t="s">
        <v>66</v>
      </c>
      <c r="B18" t="s">
        <v>66</v>
      </c>
      <c r="C18" s="98">
        <f>VLOOKUP(A18,References!$C:$D,2,0)</f>
        <v>231.9597989949749</v>
      </c>
    </row>
    <row r="19" spans="1:3">
      <c r="A19" t="s">
        <v>69</v>
      </c>
      <c r="B19" t="s">
        <v>69</v>
      </c>
      <c r="C19" s="98">
        <f>VLOOKUP(A19,References!$C:$D,2,0)</f>
        <v>144.25</v>
      </c>
    </row>
    <row r="20" spans="1:3">
      <c r="A20" t="s">
        <v>73</v>
      </c>
      <c r="B20" t="s">
        <v>73</v>
      </c>
      <c r="C20" s="98">
        <f>VLOOKUP(A20,References!$C:$D,2,0)</f>
        <v>144.25</v>
      </c>
    </row>
    <row r="21" spans="1:3">
      <c r="A21" t="s">
        <v>78</v>
      </c>
      <c r="B21" t="s">
        <v>5000</v>
      </c>
      <c r="C21" s="98">
        <f>VLOOKUP(A21,References!$C:$D,2,0)</f>
        <v>144.25</v>
      </c>
    </row>
    <row r="22" spans="1:3">
      <c r="A22" t="s">
        <v>80</v>
      </c>
      <c r="B22" t="s">
        <v>80</v>
      </c>
      <c r="C22" s="98">
        <f>VLOOKUP(A22,References!$C:$D,2,0)</f>
        <v>144.25</v>
      </c>
    </row>
    <row r="23" spans="1:3">
      <c r="A23" t="s">
        <v>84</v>
      </c>
      <c r="B23" t="s">
        <v>84</v>
      </c>
      <c r="C23" s="98">
        <f>VLOOKUP(A23,References!$C:$D,2,0)</f>
        <v>95.938375350140063</v>
      </c>
    </row>
    <row r="24" spans="1:3">
      <c r="A24" t="s">
        <v>88</v>
      </c>
      <c r="B24" t="s">
        <v>5001</v>
      </c>
      <c r="C24" s="98">
        <f>VLOOKUP(A24,References!$C:$D,2,0)</f>
        <v>217.73584905660377</v>
      </c>
    </row>
    <row r="25" spans="1:3">
      <c r="A25" t="s">
        <v>90</v>
      </c>
      <c r="B25" t="s">
        <v>90</v>
      </c>
      <c r="C25" s="98">
        <f>VLOOKUP(A25,References!$C:$D,2,0)</f>
        <v>95.938375350140063</v>
      </c>
    </row>
    <row r="26" spans="1:3">
      <c r="A26" t="s">
        <v>94</v>
      </c>
      <c r="B26" t="s">
        <v>94</v>
      </c>
      <c r="C26" s="98">
        <f>VLOOKUP(A26,References!$C:$D,2,0)</f>
        <v>188.40816326530611</v>
      </c>
    </row>
    <row r="27" spans="1:3">
      <c r="A27" t="s">
        <v>97</v>
      </c>
      <c r="B27" t="s">
        <v>5002</v>
      </c>
      <c r="C27" s="98">
        <f>VLOOKUP(A27,References!$C:$D,2,0)</f>
        <v>95.938375350140063</v>
      </c>
    </row>
    <row r="28" spans="1:3">
      <c r="A28" t="s">
        <v>99</v>
      </c>
      <c r="B28" t="s">
        <v>99</v>
      </c>
      <c r="C28" s="98">
        <f>VLOOKUP(A28,References!$C:$D,2,0)</f>
        <v>144.25</v>
      </c>
    </row>
    <row r="29" spans="1:3">
      <c r="A29" t="s">
        <v>108</v>
      </c>
      <c r="B29" t="s">
        <v>108</v>
      </c>
      <c r="C29" s="98">
        <f>VLOOKUP(A29,References!$C:$D,2,0)</f>
        <v>188.40816326530611</v>
      </c>
    </row>
    <row r="30" spans="1:3">
      <c r="A30" t="s">
        <v>11</v>
      </c>
      <c r="B30" t="s">
        <v>5003</v>
      </c>
      <c r="C30" s="98">
        <f>VLOOKUP(A30,References!$C:$D,2,0)</f>
        <v>231.9597989949749</v>
      </c>
    </row>
    <row r="31" spans="1:3">
      <c r="A31" t="s">
        <v>113</v>
      </c>
      <c r="B31" t="s">
        <v>113</v>
      </c>
      <c r="C31" s="98">
        <f>VLOOKUP(A31,References!$C:$D,2,0)</f>
        <v>135.75539568345323</v>
      </c>
    </row>
    <row r="32" spans="1:3">
      <c r="A32" t="s">
        <v>117</v>
      </c>
      <c r="B32" t="s">
        <v>117</v>
      </c>
      <c r="C32" s="98">
        <f>VLOOKUP(A32,References!$C:$D,2,0)</f>
        <v>231.9597989949749</v>
      </c>
    </row>
    <row r="33" spans="1:3">
      <c r="A33" t="s">
        <v>121</v>
      </c>
      <c r="B33" t="s">
        <v>121</v>
      </c>
      <c r="C33" s="98">
        <f>VLOOKUP(A33,References!$C:$D,2,0)</f>
        <v>231.9597989949749</v>
      </c>
    </row>
    <row r="34" spans="1:3">
      <c r="A34" t="s">
        <v>124</v>
      </c>
      <c r="B34" t="s">
        <v>5004</v>
      </c>
      <c r="C34" s="98">
        <f>VLOOKUP(A34,References!$C:$D,2,0)</f>
        <v>106.69781931464175</v>
      </c>
    </row>
    <row r="35" spans="1:3">
      <c r="A35" t="s">
        <v>44</v>
      </c>
      <c r="B35" t="s">
        <v>44</v>
      </c>
      <c r="C35" s="98">
        <f>VLOOKUP(A35,References!$C:$D,2,0)</f>
        <v>188.40816326530611</v>
      </c>
    </row>
    <row r="36" spans="1:3">
      <c r="A36" t="s">
        <v>128</v>
      </c>
      <c r="B36" t="s">
        <v>5005</v>
      </c>
      <c r="C36" s="98">
        <f>VLOOKUP(A36,References!$C:$D,2,0)</f>
        <v>231.9597989949749</v>
      </c>
    </row>
    <row r="37" spans="1:3">
      <c r="A37" t="s">
        <v>132</v>
      </c>
      <c r="B37" t="s">
        <v>132</v>
      </c>
      <c r="C37" s="98">
        <f>VLOOKUP(A37,References!$C:$D,2,0)</f>
        <v>217.73584905660377</v>
      </c>
    </row>
    <row r="38" spans="1:3">
      <c r="A38" t="s">
        <v>136</v>
      </c>
      <c r="B38" t="s">
        <v>136</v>
      </c>
      <c r="C38" s="98">
        <f>VLOOKUP(A38,References!$C:$D,2,0)</f>
        <v>95.938375350140063</v>
      </c>
    </row>
    <row r="39" spans="1:3">
      <c r="A39" t="s">
        <v>140</v>
      </c>
      <c r="B39" t="s">
        <v>140</v>
      </c>
      <c r="C39" s="98">
        <f>VLOOKUP(A39,References!$C:$D,2,0)</f>
        <v>188.40816326530611</v>
      </c>
    </row>
    <row r="40" spans="1:3">
      <c r="A40" t="s">
        <v>144</v>
      </c>
      <c r="B40" t="s">
        <v>144</v>
      </c>
      <c r="C40" s="98">
        <f>VLOOKUP(A40,References!$C:$D,2,0)</f>
        <v>2</v>
      </c>
    </row>
    <row r="41" spans="1:3">
      <c r="A41" t="s">
        <v>148</v>
      </c>
      <c r="B41" t="s">
        <v>148</v>
      </c>
      <c r="C41" s="98">
        <f>VLOOKUP(A41,References!$C:$D,2,0)</f>
        <v>144.25</v>
      </c>
    </row>
    <row r="42" spans="1:3">
      <c r="A42" t="s">
        <v>152</v>
      </c>
      <c r="B42" t="s">
        <v>152</v>
      </c>
      <c r="C42" s="98">
        <f>VLOOKUP(A42,References!$C:$D,2,0)</f>
        <v>188.40816326530611</v>
      </c>
    </row>
    <row r="43" spans="1:3">
      <c r="A43" t="s">
        <v>156</v>
      </c>
      <c r="B43" t="s">
        <v>156</v>
      </c>
      <c r="C43" s="98">
        <f>VLOOKUP(A43,References!$C:$D,2,0)</f>
        <v>3</v>
      </c>
    </row>
    <row r="44" spans="1:3">
      <c r="A44" t="s">
        <v>160</v>
      </c>
      <c r="B44" t="s">
        <v>5006</v>
      </c>
      <c r="C44" s="98">
        <f>VLOOKUP(A44,References!$C:$D,2,0)</f>
        <v>2</v>
      </c>
    </row>
    <row r="45" spans="1:3">
      <c r="A45" t="s">
        <v>162</v>
      </c>
      <c r="B45" t="s">
        <v>162</v>
      </c>
      <c r="C45" s="98">
        <f>VLOOKUP(A45,References!$C:$D,2,0)</f>
        <v>260.79096045197741</v>
      </c>
    </row>
    <row r="46" spans="1:3">
      <c r="A46" t="s">
        <v>165</v>
      </c>
      <c r="B46" t="s">
        <v>5007</v>
      </c>
      <c r="C46" s="98">
        <f>VLOOKUP(A46,References!$C:$D,2,0)</f>
        <v>188.40816326530611</v>
      </c>
    </row>
    <row r="47" spans="1:3">
      <c r="A47" t="s">
        <v>167</v>
      </c>
      <c r="B47" t="s">
        <v>167</v>
      </c>
      <c r="C47" s="98">
        <f>VLOOKUP(A47,References!$C:$D,2,0)</f>
        <v>188.40816326530611</v>
      </c>
    </row>
    <row r="48" spans="1:3">
      <c r="A48" t="s">
        <v>172</v>
      </c>
      <c r="B48" t="s">
        <v>172</v>
      </c>
      <c r="C48" s="98">
        <f>VLOOKUP(A48,References!$C:$D,2,0)</f>
        <v>135.75539568345323</v>
      </c>
    </row>
    <row r="49" spans="1:3">
      <c r="A49" t="s">
        <v>176</v>
      </c>
      <c r="B49" t="s">
        <v>176</v>
      </c>
      <c r="C49" s="98">
        <f>VLOOKUP(A49,References!$C:$D,2,0)</f>
        <v>95.938375350140063</v>
      </c>
    </row>
    <row r="50" spans="1:3">
      <c r="A50" t="s">
        <v>179</v>
      </c>
      <c r="B50" t="s">
        <v>179</v>
      </c>
      <c r="C50" s="98">
        <f>VLOOKUP(A50,References!$C:$D,2,0)</f>
        <v>2</v>
      </c>
    </row>
    <row r="51" spans="1:3">
      <c r="A51" t="s">
        <v>183</v>
      </c>
      <c r="B51" t="s">
        <v>183</v>
      </c>
      <c r="C51" s="98">
        <f>VLOOKUP(A51,References!$C:$D,2,0)</f>
        <v>231.9597989949749</v>
      </c>
    </row>
    <row r="52" spans="1:3">
      <c r="A52" t="s">
        <v>186</v>
      </c>
      <c r="B52" t="s">
        <v>5008</v>
      </c>
      <c r="C52" s="98">
        <f>VLOOKUP(A52,References!$C:$D,2,0)</f>
        <v>2</v>
      </c>
    </row>
    <row r="53" spans="1:3">
      <c r="A53" t="s">
        <v>188</v>
      </c>
      <c r="B53" t="s">
        <v>188</v>
      </c>
      <c r="C53" s="98">
        <f>VLOOKUP(A53,References!$C:$D,2,0)</f>
        <v>231.9597989949749</v>
      </c>
    </row>
    <row r="54" spans="1:3">
      <c r="A54" t="s">
        <v>192</v>
      </c>
      <c r="B54" t="s">
        <v>192</v>
      </c>
      <c r="C54" s="98">
        <f>VLOOKUP(A54,References!$C:$D,2,0)</f>
        <v>2</v>
      </c>
    </row>
    <row r="55" spans="1:3">
      <c r="A55" t="s">
        <v>172</v>
      </c>
      <c r="B55" t="s">
        <v>5009</v>
      </c>
      <c r="C55" s="98">
        <f>VLOOKUP(A55,References!$C:$D,2,0)</f>
        <v>135.75539568345323</v>
      </c>
    </row>
    <row r="56" spans="1:3">
      <c r="A56" t="s">
        <v>195</v>
      </c>
      <c r="B56" t="s">
        <v>195</v>
      </c>
      <c r="C56" s="98">
        <f>VLOOKUP(A56,References!$C:$D,2,0)</f>
        <v>188.40816326530611</v>
      </c>
    </row>
    <row r="57" spans="1:3">
      <c r="A57" t="s">
        <v>160</v>
      </c>
      <c r="B57" t="s">
        <v>160</v>
      </c>
      <c r="C57" s="98">
        <f>VLOOKUP(A57,References!$C:$D,2,0)</f>
        <v>2</v>
      </c>
    </row>
    <row r="58" spans="1:3">
      <c r="A58" t="s">
        <v>199</v>
      </c>
      <c r="B58" t="s">
        <v>199</v>
      </c>
      <c r="C58" s="98">
        <f>VLOOKUP(A58,References!$C:$D,2,0)</f>
        <v>231.9597989949749</v>
      </c>
    </row>
    <row r="59" spans="1:3">
      <c r="A59" t="s">
        <v>203</v>
      </c>
      <c r="B59" t="s">
        <v>203</v>
      </c>
      <c r="C59" s="98">
        <f>VLOOKUP(A59,References!$C:$D,2,0)</f>
        <v>144.25</v>
      </c>
    </row>
    <row r="60" spans="1:3">
      <c r="A60" t="s">
        <v>207</v>
      </c>
      <c r="B60" t="s">
        <v>207</v>
      </c>
      <c r="C60" s="98">
        <f>VLOOKUP(A60,References!$C:$D,2,0)</f>
        <v>192.33333333333334</v>
      </c>
    </row>
    <row r="61" spans="1:3">
      <c r="A61" t="s">
        <v>210</v>
      </c>
      <c r="B61" t="s">
        <v>210</v>
      </c>
      <c r="C61" s="98">
        <f>VLOOKUP(A61,References!$C:$D,2,0)</f>
        <v>2</v>
      </c>
    </row>
    <row r="62" spans="1:3">
      <c r="A62" t="s">
        <v>213</v>
      </c>
      <c r="B62" t="s">
        <v>213</v>
      </c>
      <c r="C62" s="98">
        <f>VLOOKUP(A62,References!$C:$D,2,0)</f>
        <v>217.73584905660377</v>
      </c>
    </row>
    <row r="63" spans="1:3">
      <c r="A63" t="s">
        <v>217</v>
      </c>
      <c r="B63" t="s">
        <v>217</v>
      </c>
      <c r="C63" s="98">
        <f>VLOOKUP(A63,References!$C:$D,2,0)</f>
        <v>106.69781931464175</v>
      </c>
    </row>
    <row r="64" spans="1:3">
      <c r="A64" t="s">
        <v>221</v>
      </c>
      <c r="B64" t="s">
        <v>221</v>
      </c>
      <c r="C64" s="98">
        <f>VLOOKUP(A64,References!$C:$D,2,0)</f>
        <v>106.69781931464175</v>
      </c>
    </row>
    <row r="65" spans="1:3">
      <c r="A65" t="s">
        <v>156</v>
      </c>
      <c r="B65" t="s">
        <v>5010</v>
      </c>
      <c r="C65" s="98">
        <f>VLOOKUP(A65,References!$C:$D,2,0)</f>
        <v>3</v>
      </c>
    </row>
    <row r="66" spans="1:3">
      <c r="A66" t="s">
        <v>225</v>
      </c>
      <c r="B66" t="s">
        <v>225</v>
      </c>
      <c r="C66" s="98">
        <f>VLOOKUP(A66,References!$C:$D,2,0)</f>
        <v>191.53526970954357</v>
      </c>
    </row>
    <row r="67" spans="1:3">
      <c r="A67" t="s">
        <v>229</v>
      </c>
      <c r="B67" t="s">
        <v>229</v>
      </c>
      <c r="C67" s="98">
        <f>VLOOKUP(A67,References!$C:$D,2,0)</f>
        <v>188.40816326530611</v>
      </c>
    </row>
    <row r="68" spans="1:3">
      <c r="A68" t="s">
        <v>233</v>
      </c>
      <c r="B68" t="s">
        <v>233</v>
      </c>
      <c r="C68" s="98">
        <f>VLOOKUP(A68,References!$C:$D,2,0)</f>
        <v>191.40816326530611</v>
      </c>
    </row>
    <row r="69" spans="1:3">
      <c r="A69" t="s">
        <v>236</v>
      </c>
      <c r="B69" t="s">
        <v>236</v>
      </c>
      <c r="C69" s="98">
        <f>VLOOKUP(A69,References!$C:$D,2,0)</f>
        <v>135.75539568345323</v>
      </c>
    </row>
    <row r="70" spans="1:3">
      <c r="A70" t="s">
        <v>240</v>
      </c>
      <c r="B70" t="s">
        <v>240</v>
      </c>
      <c r="C70" s="98">
        <f>VLOOKUP(A70,References!$C:$D,2,0)</f>
        <v>231.9597989949749</v>
      </c>
    </row>
    <row r="71" spans="1:3">
      <c r="A71" t="s">
        <v>244</v>
      </c>
      <c r="B71" t="s">
        <v>244</v>
      </c>
      <c r="C71" s="98">
        <f>VLOOKUP(A71,References!$C:$D,2,0)</f>
        <v>231.9597989949749</v>
      </c>
    </row>
    <row r="72" spans="1:3">
      <c r="A72" t="s">
        <v>248</v>
      </c>
      <c r="B72" t="s">
        <v>248</v>
      </c>
      <c r="C72" s="98">
        <f>VLOOKUP(A72,References!$C:$D,2,0)</f>
        <v>231.9597989949749</v>
      </c>
    </row>
    <row r="73" spans="1:3">
      <c r="A73" t="s">
        <v>251</v>
      </c>
      <c r="B73" t="s">
        <v>251</v>
      </c>
      <c r="C73" s="98">
        <f>VLOOKUP(A73,References!$C:$D,2,0)</f>
        <v>95.938375350140063</v>
      </c>
    </row>
    <row r="74" spans="1:3">
      <c r="A74" t="s">
        <v>256</v>
      </c>
      <c r="B74" t="s">
        <v>256</v>
      </c>
      <c r="C74" s="98">
        <f>VLOOKUP(A74,References!$C:$D,2,0)</f>
        <v>260.79096045197741</v>
      </c>
    </row>
    <row r="75" spans="1:3">
      <c r="A75" t="s">
        <v>259</v>
      </c>
      <c r="B75" t="s">
        <v>259</v>
      </c>
      <c r="C75" s="98">
        <f>VLOOKUP(A75,References!$C:$D,2,0)</f>
        <v>231.9597989949749</v>
      </c>
    </row>
    <row r="76" spans="1:3">
      <c r="A76" t="s">
        <v>263</v>
      </c>
      <c r="B76" t="s">
        <v>263</v>
      </c>
      <c r="C76" s="98">
        <f>VLOOKUP(A76,References!$C:$D,2,0)</f>
        <v>231.9597989949749</v>
      </c>
    </row>
    <row r="77" spans="1:3">
      <c r="A77" t="s">
        <v>188</v>
      </c>
      <c r="B77" t="s">
        <v>5011</v>
      </c>
      <c r="C77" s="98">
        <f>VLOOKUP(A77,References!$C:$D,2,0)</f>
        <v>231.9597989949749</v>
      </c>
    </row>
    <row r="78" spans="1:3">
      <c r="A78" t="s">
        <v>267</v>
      </c>
      <c r="B78" t="s">
        <v>267</v>
      </c>
      <c r="C78" s="98">
        <f>VLOOKUP(A78,References!$C:$D,2,0)</f>
        <v>231.9597989949749</v>
      </c>
    </row>
    <row r="79" spans="1:3">
      <c r="A79" t="s">
        <v>271</v>
      </c>
      <c r="B79" t="s">
        <v>271</v>
      </c>
      <c r="C79" s="98">
        <f>VLOOKUP(A79,References!$C:$D,2,0)</f>
        <v>231.9597989949749</v>
      </c>
    </row>
    <row r="80" spans="1:3">
      <c r="A80" t="s">
        <v>275</v>
      </c>
      <c r="B80" t="s">
        <v>275</v>
      </c>
      <c r="C80" s="98">
        <f>VLOOKUP(A80,References!$C:$D,2,0)</f>
        <v>231.9597989949749</v>
      </c>
    </row>
    <row r="81" spans="1:3">
      <c r="A81" t="s">
        <v>279</v>
      </c>
      <c r="B81" t="s">
        <v>279</v>
      </c>
      <c r="C81" s="98">
        <f>VLOOKUP(A81,References!$C:$D,2,0)</f>
        <v>231.9597989949749</v>
      </c>
    </row>
    <row r="82" spans="1:3">
      <c r="A82" t="s">
        <v>283</v>
      </c>
      <c r="B82" t="s">
        <v>283</v>
      </c>
      <c r="C82" s="98">
        <f>VLOOKUP(A82,References!$C:$D,2,0)</f>
        <v>231.9597989949749</v>
      </c>
    </row>
    <row r="83" spans="1:3">
      <c r="A83" t="s">
        <v>165</v>
      </c>
      <c r="B83" t="s">
        <v>165</v>
      </c>
      <c r="C83" s="98">
        <f>VLOOKUP(A83,References!$C:$D,2,0)</f>
        <v>188.40816326530611</v>
      </c>
    </row>
    <row r="84" spans="1:3">
      <c r="A84" t="s">
        <v>289</v>
      </c>
      <c r="B84" t="s">
        <v>289</v>
      </c>
      <c r="C84" s="98">
        <f>VLOOKUP(A84,References!$C:$D,2,0)</f>
        <v>144.25</v>
      </c>
    </row>
    <row r="85" spans="1:3">
      <c r="A85" t="s">
        <v>293</v>
      </c>
      <c r="B85" t="s">
        <v>5012</v>
      </c>
      <c r="C85" s="98">
        <f>VLOOKUP(A85,References!$C:$D,2,0)</f>
        <v>95.938375350140063</v>
      </c>
    </row>
    <row r="86" spans="1:3">
      <c r="A86" t="s">
        <v>124</v>
      </c>
      <c r="B86" t="s">
        <v>124</v>
      </c>
      <c r="C86" s="98">
        <f>VLOOKUP(A86,References!$C:$D,2,0)</f>
        <v>106.69781931464175</v>
      </c>
    </row>
    <row r="87" spans="1:3">
      <c r="A87" t="s">
        <v>298</v>
      </c>
      <c r="B87" t="s">
        <v>298</v>
      </c>
      <c r="C87" s="98">
        <f>VLOOKUP(A87,References!$C:$D,2,0)</f>
        <v>231.9597989949749</v>
      </c>
    </row>
    <row r="88" spans="1:3">
      <c r="A88" t="s">
        <v>302</v>
      </c>
      <c r="B88" t="s">
        <v>302</v>
      </c>
      <c r="C88" s="98">
        <f>VLOOKUP(A88,References!$C:$D,2,0)</f>
        <v>188.40816326530611</v>
      </c>
    </row>
    <row r="89" spans="1:3">
      <c r="A89" t="s">
        <v>306</v>
      </c>
      <c r="B89" t="s">
        <v>306</v>
      </c>
      <c r="C89" s="98">
        <f>VLOOKUP(A89,References!$C:$D,2,0)</f>
        <v>188.40816326530611</v>
      </c>
    </row>
    <row r="90" spans="1:3">
      <c r="A90" t="s">
        <v>310</v>
      </c>
      <c r="B90" t="s">
        <v>310</v>
      </c>
      <c r="C90" s="98">
        <f>VLOOKUP(A90,References!$C:$D,2,0)</f>
        <v>191.53526970954357</v>
      </c>
    </row>
    <row r="91" spans="1:3">
      <c r="A91" t="s">
        <v>314</v>
      </c>
      <c r="B91" t="s">
        <v>314</v>
      </c>
      <c r="C91" s="98">
        <f>VLOOKUP(A91,References!$C:$D,2,0)</f>
        <v>231.9597989949749</v>
      </c>
    </row>
    <row r="92" spans="1:3">
      <c r="A92" t="s">
        <v>322</v>
      </c>
      <c r="B92" t="s">
        <v>322</v>
      </c>
      <c r="C92" s="98">
        <f>VLOOKUP(A92,References!$C:$D,2,0)</f>
        <v>231.9597989949749</v>
      </c>
    </row>
    <row r="93" spans="1:3">
      <c r="A93" t="s">
        <v>318</v>
      </c>
      <c r="B93" t="s">
        <v>318</v>
      </c>
      <c r="C93" s="98">
        <f>VLOOKUP(A93,References!$C:$D,2,0)</f>
        <v>188.40816326530611</v>
      </c>
    </row>
    <row r="94" spans="1:3">
      <c r="A94" t="s">
        <v>326</v>
      </c>
      <c r="B94" t="s">
        <v>5013</v>
      </c>
      <c r="C94" s="98">
        <f>VLOOKUP(A94,References!$C:$D,2,0)</f>
        <v>231.9597989949749</v>
      </c>
    </row>
    <row r="95" spans="1:3">
      <c r="A95" t="s">
        <v>328</v>
      </c>
      <c r="B95" t="s">
        <v>328</v>
      </c>
      <c r="C95" s="98">
        <f>VLOOKUP(A95,References!$C:$D,2,0)</f>
        <v>2</v>
      </c>
    </row>
    <row r="96" spans="1:3">
      <c r="A96" t="s">
        <v>331</v>
      </c>
      <c r="B96" t="s">
        <v>331</v>
      </c>
      <c r="C96" s="98">
        <f>VLOOKUP(A96,References!$C:$D,2,0)</f>
        <v>106.69781931464175</v>
      </c>
    </row>
    <row r="97" spans="1:3">
      <c r="A97" t="s">
        <v>335</v>
      </c>
      <c r="B97" t="s">
        <v>5014</v>
      </c>
      <c r="C97" s="98">
        <f>VLOOKUP(A97,References!$C:$D,2,0)</f>
        <v>231.9597989949749</v>
      </c>
    </row>
    <row r="98" spans="1:3">
      <c r="A98" t="s">
        <v>337</v>
      </c>
      <c r="B98" t="s">
        <v>337</v>
      </c>
      <c r="C98" s="98">
        <f>VLOOKUP(A98,References!$C:$D,2,0)</f>
        <v>144.25</v>
      </c>
    </row>
    <row r="99" spans="1:3">
      <c r="A99" t="s">
        <v>97</v>
      </c>
      <c r="B99" t="s">
        <v>97</v>
      </c>
      <c r="C99" s="98">
        <f>VLOOKUP(A99,References!$C:$D,2,0)</f>
        <v>95.938375350140063</v>
      </c>
    </row>
    <row r="100" spans="1:3">
      <c r="A100" t="s">
        <v>342</v>
      </c>
      <c r="B100" t="s">
        <v>342</v>
      </c>
      <c r="C100" s="98">
        <f>VLOOKUP(A100,References!$C:$D,2,0)</f>
        <v>231.9597989949749</v>
      </c>
    </row>
    <row r="101" spans="1:3">
      <c r="A101" t="s">
        <v>345</v>
      </c>
      <c r="B101" t="s">
        <v>5015</v>
      </c>
      <c r="C101" s="98">
        <f>VLOOKUP(A101,References!$C:$D,2,0)</f>
        <v>231.9597989949749</v>
      </c>
    </row>
    <row r="102" spans="1:3">
      <c r="A102" t="s">
        <v>128</v>
      </c>
      <c r="B102" t="s">
        <v>128</v>
      </c>
      <c r="C102" s="98">
        <f>VLOOKUP(A102,References!$C:$D,2,0)</f>
        <v>231.9597989949749</v>
      </c>
    </row>
    <row r="103" spans="1:3">
      <c r="A103" t="s">
        <v>349</v>
      </c>
      <c r="B103" t="s">
        <v>349</v>
      </c>
      <c r="C103" s="98">
        <f>VLOOKUP(A103,References!$C:$D,2,0)</f>
        <v>191.53526970954357</v>
      </c>
    </row>
    <row r="104" spans="1:3">
      <c r="A104" t="s">
        <v>353</v>
      </c>
      <c r="B104" t="s">
        <v>353</v>
      </c>
      <c r="C104" s="98">
        <f>VLOOKUP(A104,References!$C:$D,2,0)</f>
        <v>95.938375350140063</v>
      </c>
    </row>
    <row r="105" spans="1:3">
      <c r="A105" t="s">
        <v>357</v>
      </c>
      <c r="B105" t="s">
        <v>357</v>
      </c>
      <c r="C105" s="98">
        <f>VLOOKUP(A105,References!$C:$D,2,0)</f>
        <v>231.9597989949749</v>
      </c>
    </row>
    <row r="106" spans="1:3">
      <c r="A106" t="s">
        <v>360</v>
      </c>
      <c r="B106" t="s">
        <v>5016</v>
      </c>
      <c r="C106" s="98">
        <f>VLOOKUP(A106,References!$C:$D,2,0)</f>
        <v>231.9597989949749</v>
      </c>
    </row>
    <row r="107" spans="1:3">
      <c r="A107" t="s">
        <v>365</v>
      </c>
      <c r="B107" t="s">
        <v>365</v>
      </c>
      <c r="C107" s="98">
        <f>VLOOKUP(A107,References!$C:$D,2,0)</f>
        <v>188.40816326530611</v>
      </c>
    </row>
    <row r="108" spans="1:3">
      <c r="A108" t="s">
        <v>326</v>
      </c>
      <c r="B108" t="s">
        <v>326</v>
      </c>
      <c r="C108" s="98">
        <f>VLOOKUP(A108,References!$C:$D,2,0)</f>
        <v>231.9597989949749</v>
      </c>
    </row>
    <row r="109" spans="1:3">
      <c r="A109" t="s">
        <v>369</v>
      </c>
      <c r="B109" t="s">
        <v>369</v>
      </c>
      <c r="C109" s="98">
        <f>VLOOKUP(A109,References!$C:$D,2,0)</f>
        <v>188.40816326530611</v>
      </c>
    </row>
    <row r="110" spans="1:3">
      <c r="A110" t="s">
        <v>377</v>
      </c>
      <c r="B110" t="s">
        <v>377</v>
      </c>
      <c r="C110" s="98">
        <f>VLOOKUP(A110,References!$C:$D,2,0)</f>
        <v>144.25</v>
      </c>
    </row>
    <row r="111" spans="1:3">
      <c r="A111" t="s">
        <v>373</v>
      </c>
      <c r="B111" t="s">
        <v>373</v>
      </c>
      <c r="C111" s="98">
        <f>VLOOKUP(A111,References!$C:$D,2,0)</f>
        <v>144.25</v>
      </c>
    </row>
    <row r="112" spans="1:3">
      <c r="A112" t="s">
        <v>381</v>
      </c>
      <c r="B112" t="s">
        <v>381</v>
      </c>
      <c r="C112" s="98">
        <f>VLOOKUP(A112,References!$C:$D,2,0)</f>
        <v>188.40816326530611</v>
      </c>
    </row>
    <row r="113" spans="1:3">
      <c r="A113" t="s">
        <v>385</v>
      </c>
      <c r="B113" t="s">
        <v>385</v>
      </c>
      <c r="C113" s="98">
        <f>VLOOKUP(A113,References!$C:$D,2,0)</f>
        <v>135.75539568345323</v>
      </c>
    </row>
    <row r="114" spans="1:3">
      <c r="A114" t="s">
        <v>389</v>
      </c>
      <c r="B114" t="s">
        <v>389</v>
      </c>
      <c r="C114" s="98">
        <f>VLOOKUP(A114,References!$C:$D,2,0)</f>
        <v>234.31472081218274</v>
      </c>
    </row>
    <row r="115" spans="1:3">
      <c r="A115" t="s">
        <v>393</v>
      </c>
      <c r="B115" t="s">
        <v>393</v>
      </c>
      <c r="C115" s="98">
        <f>VLOOKUP(A115,References!$C:$D,2,0)</f>
        <v>231.9597989949749</v>
      </c>
    </row>
    <row r="116" spans="1:3">
      <c r="A116" t="s">
        <v>183</v>
      </c>
      <c r="B116" t="s">
        <v>5017</v>
      </c>
      <c r="C116" s="98">
        <f>VLOOKUP(A116,References!$C:$D,2,0)</f>
        <v>231.9597989949749</v>
      </c>
    </row>
    <row r="117" spans="1:3">
      <c r="A117" t="s">
        <v>124</v>
      </c>
      <c r="B117" t="s">
        <v>5018</v>
      </c>
      <c r="C117" s="98">
        <f>VLOOKUP(A117,References!$C:$D,2,0)</f>
        <v>106.69781931464175</v>
      </c>
    </row>
    <row r="118" spans="1:3">
      <c r="A118" t="s">
        <v>186</v>
      </c>
      <c r="B118" t="s">
        <v>186</v>
      </c>
      <c r="C118" s="98">
        <f>VLOOKUP(A118,References!$C:$D,2,0)</f>
        <v>2</v>
      </c>
    </row>
    <row r="119" spans="1:3">
      <c r="A119" t="s">
        <v>399</v>
      </c>
      <c r="B119" t="s">
        <v>399</v>
      </c>
      <c r="C119" s="98">
        <f>VLOOKUP(A119,References!$C:$D,2,0)</f>
        <v>231.9597989949749</v>
      </c>
    </row>
    <row r="120" spans="1:3">
      <c r="A120" t="s">
        <v>403</v>
      </c>
      <c r="B120" t="s">
        <v>403</v>
      </c>
      <c r="C120" s="98">
        <f>VLOOKUP(A120,References!$C:$D,2,0)</f>
        <v>260.79096045197741</v>
      </c>
    </row>
    <row r="121" spans="1:3">
      <c r="A121" t="s">
        <v>406</v>
      </c>
      <c r="B121" t="s">
        <v>406</v>
      </c>
      <c r="C121" s="98">
        <f>VLOOKUP(A121,References!$C:$D,2,0)</f>
        <v>231.9597989949749</v>
      </c>
    </row>
    <row r="122" spans="1:3">
      <c r="A122" t="s">
        <v>410</v>
      </c>
      <c r="B122" t="s">
        <v>410</v>
      </c>
      <c r="C122" s="98">
        <f>VLOOKUP(A122,References!$C:$D,2,0)</f>
        <v>95.938375350140063</v>
      </c>
    </row>
    <row r="123" spans="1:3">
      <c r="A123" t="s">
        <v>413</v>
      </c>
      <c r="B123" t="s">
        <v>413</v>
      </c>
      <c r="C123" s="98">
        <f>VLOOKUP(A123,References!$C:$D,2,0)</f>
        <v>260.79096045197741</v>
      </c>
    </row>
    <row r="124" spans="1:3">
      <c r="A124" t="s">
        <v>417</v>
      </c>
      <c r="B124" t="s">
        <v>417</v>
      </c>
      <c r="C124" s="98">
        <f>VLOOKUP(A124,References!$C:$D,2,0)</f>
        <v>188.40816326530611</v>
      </c>
    </row>
    <row r="125" spans="1:3">
      <c r="A125" t="s">
        <v>421</v>
      </c>
      <c r="B125" t="s">
        <v>421</v>
      </c>
      <c r="C125" s="98">
        <f>VLOOKUP(A125,References!$C:$D,2,0)</f>
        <v>135.75539568345323</v>
      </c>
    </row>
    <row r="126" spans="1:3">
      <c r="A126" t="s">
        <v>425</v>
      </c>
      <c r="B126" t="s">
        <v>425</v>
      </c>
      <c r="C126" s="98">
        <f>VLOOKUP(A126,References!$C:$D,2,0)</f>
        <v>188.40816326530611</v>
      </c>
    </row>
    <row r="127" spans="1:3">
      <c r="A127" t="s">
        <v>78</v>
      </c>
      <c r="B127" t="s">
        <v>78</v>
      </c>
      <c r="C127" s="98">
        <f>VLOOKUP(A127,References!$C:$D,2,0)</f>
        <v>144.25</v>
      </c>
    </row>
    <row r="128" spans="1:3">
      <c r="A128" t="s">
        <v>430</v>
      </c>
      <c r="B128" t="s">
        <v>430</v>
      </c>
      <c r="C128" s="98">
        <f>VLOOKUP(A128,References!$C:$D,2,0)</f>
        <v>231.9597989949749</v>
      </c>
    </row>
    <row r="129" spans="1:3">
      <c r="A129" t="s">
        <v>433</v>
      </c>
      <c r="B129" t="s">
        <v>433</v>
      </c>
      <c r="C129" s="98">
        <f>VLOOKUP(A129,References!$C:$D,2,0)</f>
        <v>2</v>
      </c>
    </row>
    <row r="130" spans="1:3">
      <c r="A130" t="s">
        <v>436</v>
      </c>
      <c r="B130" t="s">
        <v>436</v>
      </c>
      <c r="C130" s="98">
        <f>VLOOKUP(A130,References!$C:$D,2,0)</f>
        <v>3</v>
      </c>
    </row>
    <row r="131" spans="1:3">
      <c r="A131" t="s">
        <v>439</v>
      </c>
      <c r="B131" t="s">
        <v>439</v>
      </c>
      <c r="C131" s="98">
        <f>VLOOKUP(A131,References!$C:$D,2,0)</f>
        <v>188.40816326530611</v>
      </c>
    </row>
    <row r="132" spans="1:3">
      <c r="A132" t="s">
        <v>293</v>
      </c>
      <c r="B132" t="s">
        <v>293</v>
      </c>
      <c r="C132" s="98">
        <f>VLOOKUP(A132,References!$C:$D,2,0)</f>
        <v>95.938375350140063</v>
      </c>
    </row>
    <row r="133" spans="1:3">
      <c r="A133" t="s">
        <v>444</v>
      </c>
      <c r="B133" t="s">
        <v>444</v>
      </c>
      <c r="C133" s="98">
        <f>VLOOKUP(A133,References!$C:$D,2,0)</f>
        <v>135.75539568345323</v>
      </c>
    </row>
    <row r="134" spans="1:3">
      <c r="A134" t="s">
        <v>449</v>
      </c>
      <c r="B134" t="s">
        <v>449</v>
      </c>
      <c r="C134" s="98">
        <f>VLOOKUP(A134,References!$C:$D,2,0)</f>
        <v>231.9597989949749</v>
      </c>
    </row>
    <row r="135" spans="1:3">
      <c r="A135" t="s">
        <v>453</v>
      </c>
      <c r="B135" t="s">
        <v>453</v>
      </c>
      <c r="C135" s="98">
        <f>VLOOKUP(A135,References!$C:$D,2,0)</f>
        <v>188.40816326530611</v>
      </c>
    </row>
    <row r="136" spans="1:3">
      <c r="A136" t="s">
        <v>457</v>
      </c>
      <c r="B136" t="s">
        <v>457</v>
      </c>
      <c r="C136" s="98">
        <f>VLOOKUP(A136,References!$C:$D,2,0)</f>
        <v>188.40816326530611</v>
      </c>
    </row>
    <row r="137" spans="1:3">
      <c r="A137" t="s">
        <v>461</v>
      </c>
      <c r="B137" t="s">
        <v>461</v>
      </c>
      <c r="C137" s="98">
        <f>VLOOKUP(A137,References!$C:$D,2,0)</f>
        <v>188.40816326530611</v>
      </c>
    </row>
    <row r="138" spans="1:3">
      <c r="A138" t="s">
        <v>465</v>
      </c>
      <c r="B138" t="s">
        <v>465</v>
      </c>
      <c r="C138" s="98">
        <f>VLOOKUP(A138,References!$C:$D,2,0)</f>
        <v>191.53526970954357</v>
      </c>
    </row>
    <row r="139" spans="1:3">
      <c r="A139" t="s">
        <v>337</v>
      </c>
      <c r="B139" t="s">
        <v>5019</v>
      </c>
      <c r="C139" s="98">
        <f>VLOOKUP(A139,References!$C:$D,2,0)</f>
        <v>144.25</v>
      </c>
    </row>
    <row r="140" spans="1:3">
      <c r="A140" t="s">
        <v>469</v>
      </c>
      <c r="B140" t="s">
        <v>469</v>
      </c>
      <c r="C140" s="98">
        <f>VLOOKUP(A140,References!$C:$D,2,0)</f>
        <v>2</v>
      </c>
    </row>
    <row r="141" spans="1:3">
      <c r="A141" t="s">
        <v>417</v>
      </c>
      <c r="B141" t="s">
        <v>5020</v>
      </c>
      <c r="C141" s="98">
        <f>VLOOKUP(A141,References!$C:$D,2,0)</f>
        <v>188.40816326530611</v>
      </c>
    </row>
    <row r="142" spans="1:3">
      <c r="A142" t="s">
        <v>381</v>
      </c>
      <c r="B142" t="s">
        <v>5021</v>
      </c>
      <c r="C142" s="98">
        <f>VLOOKUP(A142,References!$C:$D,2,0)</f>
        <v>188.40816326530611</v>
      </c>
    </row>
    <row r="143" spans="1:3">
      <c r="A143" t="s">
        <v>229</v>
      </c>
      <c r="B143" t="s">
        <v>5022</v>
      </c>
      <c r="C143" s="98">
        <f>VLOOKUP(A143,References!$C:$D,2,0)</f>
        <v>188.40816326530611</v>
      </c>
    </row>
    <row r="144" spans="1:3">
      <c r="A144" t="s">
        <v>306</v>
      </c>
      <c r="B144" t="s">
        <v>5023</v>
      </c>
      <c r="C144" s="98">
        <f>VLOOKUP(A144,References!$C:$D,2,0)</f>
        <v>188.40816326530611</v>
      </c>
    </row>
    <row r="145" spans="1:3">
      <c r="A145" t="s">
        <v>472</v>
      </c>
      <c r="B145" t="s">
        <v>472</v>
      </c>
      <c r="C145" s="98">
        <f>VLOOKUP(A145,References!$C:$D,2,0)</f>
        <v>144.25</v>
      </c>
    </row>
    <row r="146" spans="1:3">
      <c r="A146" t="s">
        <v>476</v>
      </c>
      <c r="B146" t="s">
        <v>476</v>
      </c>
      <c r="C146" s="98">
        <f>VLOOKUP(A146,References!$C:$D,2,0)</f>
        <v>188.40816326530611</v>
      </c>
    </row>
    <row r="147" spans="1:3">
      <c r="A147" t="s">
        <v>44</v>
      </c>
      <c r="B147" t="s">
        <v>5024</v>
      </c>
      <c r="C147" s="98">
        <f>VLOOKUP(A147,References!$C:$D,2,0)</f>
        <v>188.40816326530611</v>
      </c>
    </row>
    <row r="148" spans="1:3">
      <c r="A148" t="s">
        <v>480</v>
      </c>
      <c r="B148" t="s">
        <v>480</v>
      </c>
      <c r="C148" s="98">
        <f>VLOOKUP(A148,References!$C:$D,2,0)</f>
        <v>188.40816326530611</v>
      </c>
    </row>
    <row r="149" spans="1:3">
      <c r="A149" t="s">
        <v>484</v>
      </c>
      <c r="B149" t="s">
        <v>484</v>
      </c>
      <c r="C149" s="98">
        <f>VLOOKUP(A149,References!$C:$D,2,0)</f>
        <v>188.40816326530611</v>
      </c>
    </row>
    <row r="150" spans="1:3">
      <c r="A150" t="s">
        <v>488</v>
      </c>
      <c r="B150" t="s">
        <v>488</v>
      </c>
      <c r="C150" s="98">
        <f>VLOOKUP(A150,References!$C:$D,2,0)</f>
        <v>260.79096045197741</v>
      </c>
    </row>
    <row r="151" spans="1:3">
      <c r="A151" t="s">
        <v>492</v>
      </c>
      <c r="B151" t="s">
        <v>492</v>
      </c>
      <c r="C151" s="98">
        <f>VLOOKUP(A151,References!$C:$D,2,0)</f>
        <v>260.79096045197741</v>
      </c>
    </row>
    <row r="152" spans="1:3">
      <c r="A152" t="s">
        <v>496</v>
      </c>
      <c r="B152" t="s">
        <v>496</v>
      </c>
      <c r="C152" s="98">
        <f>VLOOKUP(A152,References!$C:$D,2,0)</f>
        <v>135.75539568345323</v>
      </c>
    </row>
    <row r="153" spans="1:3">
      <c r="A153" t="s">
        <v>318</v>
      </c>
      <c r="B153" t="s">
        <v>5025</v>
      </c>
      <c r="C153" s="98">
        <f>VLOOKUP(A153,References!$C:$D,2,0)</f>
        <v>188.40816326530611</v>
      </c>
    </row>
    <row r="154" spans="1:3">
      <c r="A154" t="s">
        <v>500</v>
      </c>
      <c r="B154" t="s">
        <v>500</v>
      </c>
      <c r="C154" s="98">
        <f>VLOOKUP(A154,References!$C:$D,2,0)</f>
        <v>231.9597989949749</v>
      </c>
    </row>
    <row r="155" spans="1:3">
      <c r="A155" t="s">
        <v>504</v>
      </c>
      <c r="B155" t="s">
        <v>504</v>
      </c>
      <c r="C155" s="98">
        <f>VLOOKUP(A155,References!$C:$D,2,0)</f>
        <v>188.40816326530611</v>
      </c>
    </row>
    <row r="156" spans="1:3">
      <c r="A156" t="s">
        <v>508</v>
      </c>
      <c r="B156" t="s">
        <v>508</v>
      </c>
      <c r="C156" s="98">
        <f>VLOOKUP(A156,References!$C:$D,2,0)</f>
        <v>188.40816326530611</v>
      </c>
    </row>
    <row r="157" spans="1:3">
      <c r="A157" t="s">
        <v>512</v>
      </c>
      <c r="B157" t="s">
        <v>512</v>
      </c>
      <c r="C157" s="98">
        <f>VLOOKUP(A157,References!$C:$D,2,0)</f>
        <v>188.40816326530611</v>
      </c>
    </row>
    <row r="158" spans="1:3">
      <c r="A158" t="s">
        <v>516</v>
      </c>
      <c r="B158" t="s">
        <v>516</v>
      </c>
      <c r="C158" s="98">
        <f>VLOOKUP(A158,References!$C:$D,2,0)</f>
        <v>260.79096045197741</v>
      </c>
    </row>
    <row r="159" spans="1:3">
      <c r="A159" t="s">
        <v>520</v>
      </c>
      <c r="B159" t="s">
        <v>520</v>
      </c>
      <c r="C159" s="98">
        <f>VLOOKUP(A159,References!$C:$D,2,0)</f>
        <v>188.40816326530611</v>
      </c>
    </row>
    <row r="160" spans="1:3">
      <c r="A160" t="s">
        <v>524</v>
      </c>
      <c r="B160" t="s">
        <v>524</v>
      </c>
      <c r="C160" s="98">
        <f>VLOOKUP(A160,References!$C:$D,2,0)</f>
        <v>188.40816326530611</v>
      </c>
    </row>
    <row r="161" spans="1:3">
      <c r="A161" t="s">
        <v>528</v>
      </c>
      <c r="B161" t="s">
        <v>528</v>
      </c>
      <c r="C161" s="98">
        <f>VLOOKUP(A161,References!$C:$D,2,0)</f>
        <v>188.40816326530611</v>
      </c>
    </row>
    <row r="162" spans="1:3">
      <c r="A162" t="s">
        <v>532</v>
      </c>
      <c r="B162" t="s">
        <v>532</v>
      </c>
      <c r="C162" s="98">
        <f>VLOOKUP(A162,References!$C:$D,2,0)</f>
        <v>188.40816326530611</v>
      </c>
    </row>
    <row r="163" spans="1:3">
      <c r="A163" t="s">
        <v>152</v>
      </c>
      <c r="B163" t="s">
        <v>5026</v>
      </c>
      <c r="C163" s="98">
        <f>VLOOKUP(A163,References!$C:$D,2,0)</f>
        <v>188.40816326530611</v>
      </c>
    </row>
    <row r="164" spans="1:3">
      <c r="A164" t="s">
        <v>536</v>
      </c>
      <c r="B164" t="s">
        <v>536</v>
      </c>
      <c r="C164" s="98">
        <f>VLOOKUP(A164,References!$C:$D,2,0)</f>
        <v>188.40816326530611</v>
      </c>
    </row>
    <row r="165" spans="1:3">
      <c r="A165" t="s">
        <v>540</v>
      </c>
      <c r="B165" t="s">
        <v>540</v>
      </c>
      <c r="C165" s="98">
        <f>VLOOKUP(A165,References!$C:$D,2,0)</f>
        <v>95.938375350140063</v>
      </c>
    </row>
    <row r="166" spans="1:3">
      <c r="A166" t="s">
        <v>544</v>
      </c>
      <c r="B166" t="s">
        <v>544</v>
      </c>
      <c r="C166" s="98">
        <f>VLOOKUP(A166,References!$C:$D,2,0)</f>
        <v>188.40816326530611</v>
      </c>
    </row>
    <row r="167" spans="1:3">
      <c r="A167" t="s">
        <v>548</v>
      </c>
      <c r="B167" t="s">
        <v>548</v>
      </c>
      <c r="C167" s="98">
        <f>VLOOKUP(A167,References!$C:$D,2,0)</f>
        <v>191.53526970954357</v>
      </c>
    </row>
    <row r="168" spans="1:3">
      <c r="A168" t="s">
        <v>552</v>
      </c>
      <c r="B168" t="s">
        <v>552</v>
      </c>
      <c r="C168" s="98">
        <f>VLOOKUP(A168,References!$C:$D,2,0)</f>
        <v>188.40816326530611</v>
      </c>
    </row>
    <row r="169" spans="1:3">
      <c r="A169" t="s">
        <v>556</v>
      </c>
      <c r="B169" t="s">
        <v>556</v>
      </c>
      <c r="C169" s="98">
        <f>VLOOKUP(A169,References!$C:$D,2,0)</f>
        <v>231.9597989949749</v>
      </c>
    </row>
    <row r="170" spans="1:3">
      <c r="A170" t="s">
        <v>560</v>
      </c>
      <c r="B170" t="s">
        <v>560</v>
      </c>
      <c r="C170" s="98">
        <f>VLOOKUP(A170,References!$C:$D,2,0)</f>
        <v>188.40816326530611</v>
      </c>
    </row>
    <row r="171" spans="1:3">
      <c r="A171" t="s">
        <v>564</v>
      </c>
      <c r="B171" t="s">
        <v>564</v>
      </c>
      <c r="C171" s="98">
        <f>VLOOKUP(A171,References!$C:$D,2,0)</f>
        <v>191.53526970954357</v>
      </c>
    </row>
    <row r="172" spans="1:3">
      <c r="A172" t="s">
        <v>568</v>
      </c>
      <c r="B172" t="s">
        <v>568</v>
      </c>
      <c r="C172" s="98">
        <f>VLOOKUP(A172,References!$C:$D,2,0)</f>
        <v>191.53526970954357</v>
      </c>
    </row>
    <row r="173" spans="1:3">
      <c r="A173" t="s">
        <v>572</v>
      </c>
      <c r="B173" t="s">
        <v>572</v>
      </c>
      <c r="C173" s="98">
        <f>VLOOKUP(A173,References!$C:$D,2,0)</f>
        <v>191.53526970954357</v>
      </c>
    </row>
    <row r="174" spans="1:3">
      <c r="A174" t="s">
        <v>576</v>
      </c>
      <c r="B174" t="s">
        <v>576</v>
      </c>
      <c r="C174" s="98">
        <f>VLOOKUP(A174,References!$C:$D,2,0)</f>
        <v>191.53526970954357</v>
      </c>
    </row>
    <row r="175" spans="1:3">
      <c r="A175" t="s">
        <v>580</v>
      </c>
      <c r="B175" t="s">
        <v>580</v>
      </c>
      <c r="C175" s="98">
        <f>VLOOKUP(A175,References!$C:$D,2,0)</f>
        <v>191.53526970954357</v>
      </c>
    </row>
    <row r="176" spans="1:3">
      <c r="A176" t="s">
        <v>584</v>
      </c>
      <c r="B176" t="s">
        <v>584</v>
      </c>
      <c r="C176" s="98">
        <f>VLOOKUP(A176,References!$C:$D,2,0)</f>
        <v>191.53526970954357</v>
      </c>
    </row>
    <row r="177" spans="1:3">
      <c r="A177" t="s">
        <v>588</v>
      </c>
      <c r="B177" t="s">
        <v>588</v>
      </c>
      <c r="C177" s="98">
        <f>VLOOKUP(A177,References!$C:$D,2,0)</f>
        <v>231.9597989949749</v>
      </c>
    </row>
    <row r="178" spans="1:3">
      <c r="A178" t="s">
        <v>97</v>
      </c>
      <c r="B178" t="s">
        <v>5027</v>
      </c>
      <c r="C178" s="98">
        <f>VLOOKUP(A178,References!$C:$D,2,0)</f>
        <v>95.938375350140063</v>
      </c>
    </row>
    <row r="179" spans="1:3">
      <c r="A179" t="s">
        <v>592</v>
      </c>
      <c r="B179" t="s">
        <v>592</v>
      </c>
      <c r="C179" s="98">
        <f>VLOOKUP(A179,References!$C:$D,2,0)</f>
        <v>191.53526970954357</v>
      </c>
    </row>
    <row r="180" spans="1:3">
      <c r="A180" t="s">
        <v>16</v>
      </c>
      <c r="B180" t="s">
        <v>5028</v>
      </c>
      <c r="C180" s="98">
        <f>VLOOKUP(A180,References!$C:$D,2,0)</f>
        <v>191.53526970954357</v>
      </c>
    </row>
    <row r="181" spans="1:3">
      <c r="A181" t="s">
        <v>596</v>
      </c>
      <c r="B181" t="s">
        <v>596</v>
      </c>
      <c r="C181" s="98">
        <f>VLOOKUP(A181,References!$C:$D,2,0)</f>
        <v>191.53526970954357</v>
      </c>
    </row>
    <row r="182" spans="1:3">
      <c r="A182" t="s">
        <v>11</v>
      </c>
      <c r="B182" t="s">
        <v>5029</v>
      </c>
      <c r="C182" s="98">
        <f>VLOOKUP(A182,References!$C:$D,2,0)</f>
        <v>231.9597989949749</v>
      </c>
    </row>
    <row r="183" spans="1:3">
      <c r="A183" t="s">
        <v>600</v>
      </c>
      <c r="B183" t="s">
        <v>600</v>
      </c>
      <c r="C183" s="98">
        <f>VLOOKUP(A183,References!$C:$D,2,0)</f>
        <v>188.40816326530611</v>
      </c>
    </row>
    <row r="184" spans="1:3">
      <c r="A184" t="s">
        <v>604</v>
      </c>
      <c r="B184" t="s">
        <v>604</v>
      </c>
      <c r="C184" s="98">
        <f>VLOOKUP(A184,References!$C:$D,2,0)</f>
        <v>191.53526970954357</v>
      </c>
    </row>
    <row r="185" spans="1:3">
      <c r="A185" t="s">
        <v>608</v>
      </c>
      <c r="B185" t="s">
        <v>608</v>
      </c>
      <c r="C185" s="98">
        <f>VLOOKUP(A185,References!$C:$D,2,0)</f>
        <v>106.69781931464175</v>
      </c>
    </row>
    <row r="186" spans="1:3">
      <c r="A186" t="s">
        <v>28</v>
      </c>
      <c r="B186" t="s">
        <v>28</v>
      </c>
      <c r="C186" s="98">
        <f>VLOOKUP(A186,References!$C:$D,2,0)</f>
        <v>231.9597989949749</v>
      </c>
    </row>
    <row r="187" spans="1:3">
      <c r="A187" t="s">
        <v>613</v>
      </c>
      <c r="B187" t="s">
        <v>613</v>
      </c>
      <c r="C187" s="98">
        <f>VLOOKUP(A187,References!$C:$D,2,0)</f>
        <v>217.73584905660377</v>
      </c>
    </row>
    <row r="188" spans="1:3">
      <c r="A188" t="s">
        <v>88</v>
      </c>
      <c r="B188" t="s">
        <v>88</v>
      </c>
      <c r="C188" s="98">
        <f>VLOOKUP(A188,References!$C:$D,2,0)</f>
        <v>217.73584905660377</v>
      </c>
    </row>
    <row r="189" spans="1:3">
      <c r="A189" t="s">
        <v>619</v>
      </c>
      <c r="B189" t="s">
        <v>619</v>
      </c>
      <c r="C189" s="98">
        <f>VLOOKUP(A189,References!$C:$D,2,0)</f>
        <v>231.9597989949749</v>
      </c>
    </row>
    <row r="190" spans="1:3">
      <c r="A190" t="s">
        <v>176</v>
      </c>
      <c r="B190" t="s">
        <v>5030</v>
      </c>
      <c r="C190" s="98">
        <f>VLOOKUP(A190,References!$C:$D,2,0)</f>
        <v>95.938375350140063</v>
      </c>
    </row>
    <row r="191" spans="1:3">
      <c r="A191" t="s">
        <v>622</v>
      </c>
      <c r="B191" t="s">
        <v>5031</v>
      </c>
      <c r="C191" s="98">
        <f>VLOOKUP(A191,References!$C:$D,2,0)</f>
        <v>95.938375350140063</v>
      </c>
    </row>
    <row r="192" spans="1:3">
      <c r="A192" t="s">
        <v>624</v>
      </c>
      <c r="B192" t="s">
        <v>624</v>
      </c>
      <c r="C192" s="98">
        <f>VLOOKUP(A192,References!$C:$D,2,0)</f>
        <v>231.9597989949749</v>
      </c>
    </row>
    <row r="193" spans="1:3">
      <c r="A193" t="s">
        <v>628</v>
      </c>
      <c r="B193" t="s">
        <v>628</v>
      </c>
      <c r="C193" s="98">
        <f>VLOOKUP(A193,References!$C:$D,2,0)</f>
        <v>135.75539568345323</v>
      </c>
    </row>
    <row r="194" spans="1:3">
      <c r="A194" t="s">
        <v>632</v>
      </c>
      <c r="B194" t="s">
        <v>632</v>
      </c>
      <c r="C194" s="98">
        <f>VLOOKUP(A194,References!$C:$D,2,0)</f>
        <v>2</v>
      </c>
    </row>
    <row r="195" spans="1:3">
      <c r="A195" t="s">
        <v>635</v>
      </c>
      <c r="B195" t="s">
        <v>635</v>
      </c>
      <c r="C195" s="98">
        <f>VLOOKUP(A195,References!$C:$D,2,0)</f>
        <v>231.9597989949749</v>
      </c>
    </row>
    <row r="196" spans="1:3">
      <c r="A196" t="s">
        <v>433</v>
      </c>
      <c r="B196" t="s">
        <v>5032</v>
      </c>
      <c r="C196" s="98">
        <f>VLOOKUP(A196,References!$C:$D,2,0)</f>
        <v>2</v>
      </c>
    </row>
    <row r="197" spans="1:3">
      <c r="A197" t="s">
        <v>622</v>
      </c>
      <c r="B197" t="s">
        <v>622</v>
      </c>
      <c r="C197" s="98">
        <f>VLOOKUP(A197,References!$C:$D,2,0)</f>
        <v>95.938375350140063</v>
      </c>
    </row>
    <row r="198" spans="1:3">
      <c r="A198" t="s">
        <v>640</v>
      </c>
      <c r="B198" t="s">
        <v>640</v>
      </c>
      <c r="C198" s="98">
        <f>VLOOKUP(A198,References!$C:$D,2,0)</f>
        <v>188.40816326530611</v>
      </c>
    </row>
    <row r="199" spans="1:3">
      <c r="A199" t="s">
        <v>335</v>
      </c>
      <c r="B199" t="s">
        <v>335</v>
      </c>
      <c r="C199" s="98">
        <f>VLOOKUP(A199,References!$C:$D,2,0)</f>
        <v>231.9597989949749</v>
      </c>
    </row>
    <row r="200" spans="1:3">
      <c r="A200" t="s">
        <v>645</v>
      </c>
      <c r="B200" t="s">
        <v>645</v>
      </c>
      <c r="C200" s="98">
        <f>VLOOKUP(A200,References!$C:$D,2,0)</f>
        <v>95.938375350140063</v>
      </c>
    </row>
    <row r="201" spans="1:3">
      <c r="A201" t="s">
        <v>649</v>
      </c>
      <c r="B201" t="s">
        <v>649</v>
      </c>
      <c r="C201" s="98">
        <f>VLOOKUP(A201,References!$C:$D,2,0)</f>
        <v>95.938375350140063</v>
      </c>
    </row>
    <row r="202" spans="1:3">
      <c r="A202" t="s">
        <v>653</v>
      </c>
      <c r="B202" t="s">
        <v>653</v>
      </c>
      <c r="C202" s="98">
        <f>VLOOKUP(A202,References!$C:$D,2,0)</f>
        <v>231.9597989949749</v>
      </c>
    </row>
    <row r="203" spans="1:3">
      <c r="A203" t="s">
        <v>657</v>
      </c>
      <c r="B203" t="s">
        <v>657</v>
      </c>
      <c r="C203" s="98">
        <f>VLOOKUP(A203,References!$C:$D,2,0)</f>
        <v>231.9597989949749</v>
      </c>
    </row>
    <row r="204" spans="1:3">
      <c r="A204" t="s">
        <v>661</v>
      </c>
      <c r="B204" t="s">
        <v>661</v>
      </c>
      <c r="C204" s="98">
        <f>VLOOKUP(A204,References!$C:$D,2,0)</f>
        <v>231.9597989949749</v>
      </c>
    </row>
    <row r="205" spans="1:3">
      <c r="A205" t="s">
        <v>665</v>
      </c>
      <c r="B205" t="s">
        <v>665</v>
      </c>
      <c r="C205" s="98">
        <f>VLOOKUP(A205,References!$C:$D,2,0)</f>
        <v>231.9597989949749</v>
      </c>
    </row>
    <row r="206" spans="1:3">
      <c r="A206" t="s">
        <v>669</v>
      </c>
      <c r="B206" t="s">
        <v>669</v>
      </c>
      <c r="C206" s="98">
        <f>VLOOKUP(A206,References!$C:$D,2,0)</f>
        <v>95.938375350140063</v>
      </c>
    </row>
    <row r="207" spans="1:3">
      <c r="A207" t="s">
        <v>335</v>
      </c>
      <c r="B207" t="s">
        <v>5033</v>
      </c>
      <c r="C207" s="98">
        <f>VLOOKUP(A207,References!$C:$D,2,0)</f>
        <v>231.9597989949749</v>
      </c>
    </row>
    <row r="208" spans="1:3">
      <c r="A208" t="s">
        <v>345</v>
      </c>
      <c r="B208" t="s">
        <v>345</v>
      </c>
      <c r="C208" s="98">
        <f>VLOOKUP(A208,References!$C:$D,2,0)</f>
        <v>231.9597989949749</v>
      </c>
    </row>
    <row r="209" spans="1:3">
      <c r="A209" t="s">
        <v>673</v>
      </c>
      <c r="B209" t="s">
        <v>673</v>
      </c>
      <c r="C209" s="98">
        <f>VLOOKUP(A209,References!$C:$D,2,0)</f>
        <v>231.9597989949749</v>
      </c>
    </row>
    <row r="210" spans="1:3">
      <c r="A210" t="s">
        <v>676</v>
      </c>
      <c r="B210" t="s">
        <v>5034</v>
      </c>
      <c r="C210" s="98">
        <f>VLOOKUP(A210,References!$C:$D,2,0)</f>
        <v>231.9597989949749</v>
      </c>
    </row>
    <row r="211" spans="1:3">
      <c r="A211" t="s">
        <v>11</v>
      </c>
      <c r="B211" t="s">
        <v>5035</v>
      </c>
      <c r="C211" s="98">
        <f>VLOOKUP(A211,References!$C:$D,2,0)</f>
        <v>231.9597989949749</v>
      </c>
    </row>
    <row r="212" spans="1:3">
      <c r="A212" t="s">
        <v>678</v>
      </c>
      <c r="B212" t="s">
        <v>678</v>
      </c>
      <c r="C212" s="98">
        <f>VLOOKUP(A212,References!$C:$D,2,0)</f>
        <v>231.9597989949749</v>
      </c>
    </row>
    <row r="213" spans="1:3">
      <c r="A213" t="s">
        <v>28</v>
      </c>
      <c r="B213" t="s">
        <v>5036</v>
      </c>
      <c r="C213" s="98">
        <f>VLOOKUP(A213,References!$C:$D,2,0)</f>
        <v>231.9597989949749</v>
      </c>
    </row>
    <row r="214" spans="1:3">
      <c r="A214" t="s">
        <v>682</v>
      </c>
      <c r="B214" t="s">
        <v>682</v>
      </c>
      <c r="C214" s="98">
        <f>VLOOKUP(A214,References!$C:$D,2,0)</f>
        <v>192.33333333333334</v>
      </c>
    </row>
    <row r="215" spans="1:3">
      <c r="A215" t="s">
        <v>685</v>
      </c>
      <c r="B215" t="s">
        <v>685</v>
      </c>
      <c r="C215" s="98">
        <f>VLOOKUP(A215,References!$C:$D,2,0)</f>
        <v>231.9597989949749</v>
      </c>
    </row>
    <row r="216" spans="1:3">
      <c r="A216" t="s">
        <v>689</v>
      </c>
      <c r="B216" t="s">
        <v>689</v>
      </c>
      <c r="C216" s="98">
        <f>VLOOKUP(A216,References!$C:$D,2,0)</f>
        <v>231.9597989949749</v>
      </c>
    </row>
    <row r="217" spans="1:3">
      <c r="A217" t="s">
        <v>693</v>
      </c>
      <c r="B217" t="s">
        <v>693</v>
      </c>
      <c r="C217" s="98">
        <f>VLOOKUP(A217,References!$C:$D,2,0)</f>
        <v>188.40816326530611</v>
      </c>
    </row>
    <row r="218" spans="1:3">
      <c r="A218" t="s">
        <v>46</v>
      </c>
      <c r="B218" t="s">
        <v>5037</v>
      </c>
      <c r="C218" s="98">
        <f>VLOOKUP(A218,References!$C:$D,2,0)</f>
        <v>231.9597989949749</v>
      </c>
    </row>
    <row r="219" spans="1:3">
      <c r="A219" t="s">
        <v>449</v>
      </c>
      <c r="B219" t="s">
        <v>5038</v>
      </c>
      <c r="C219" s="98">
        <f>VLOOKUP(A219,References!$C:$D,2,0)</f>
        <v>231.9597989949749</v>
      </c>
    </row>
    <row r="220" spans="1:3">
      <c r="A220" t="s">
        <v>25</v>
      </c>
      <c r="B220" t="s">
        <v>5039</v>
      </c>
      <c r="C220" s="98">
        <f>VLOOKUP(A220,References!$C:$D,2,0)</f>
        <v>231.9597989949749</v>
      </c>
    </row>
    <row r="221" spans="1:3">
      <c r="A221" t="s">
        <v>697</v>
      </c>
      <c r="B221" t="s">
        <v>697</v>
      </c>
      <c r="C221" s="98">
        <f>VLOOKUP(A221,References!$C:$D,2,0)</f>
        <v>260.79096045197741</v>
      </c>
    </row>
    <row r="222" spans="1:3">
      <c r="A222" t="s">
        <v>128</v>
      </c>
      <c r="B222" t="s">
        <v>5040</v>
      </c>
      <c r="C222" s="98">
        <f>VLOOKUP(A222,References!$C:$D,2,0)</f>
        <v>231.9597989949749</v>
      </c>
    </row>
    <row r="223" spans="1:3">
      <c r="A223" t="s">
        <v>701</v>
      </c>
      <c r="B223" t="s">
        <v>701</v>
      </c>
      <c r="C223" s="98">
        <f>VLOOKUP(A223,References!$C:$D,2,0)</f>
        <v>144.25</v>
      </c>
    </row>
    <row r="224" spans="1:3">
      <c r="A224" t="s">
        <v>705</v>
      </c>
      <c r="B224" t="s">
        <v>705</v>
      </c>
      <c r="C224" s="98">
        <f>VLOOKUP(A224,References!$C:$D,2,0)</f>
        <v>260.79096045197741</v>
      </c>
    </row>
    <row r="225" spans="1:3">
      <c r="A225" t="s">
        <v>54</v>
      </c>
      <c r="B225" t="s">
        <v>5041</v>
      </c>
      <c r="C225" s="98">
        <f>VLOOKUP(A225,References!$C:$D,2,0)</f>
        <v>231.9597989949749</v>
      </c>
    </row>
    <row r="226" spans="1:3">
      <c r="A226" t="s">
        <v>709</v>
      </c>
      <c r="B226" t="s">
        <v>709</v>
      </c>
      <c r="C226" s="98">
        <f>VLOOKUP(A226,References!$C:$D,2,0)</f>
        <v>231.9597989949749</v>
      </c>
    </row>
    <row r="227" spans="1:3">
      <c r="A227" t="s">
        <v>199</v>
      </c>
      <c r="B227" t="s">
        <v>5042</v>
      </c>
      <c r="C227" s="98">
        <f>VLOOKUP(A227,References!$C:$D,2,0)</f>
        <v>231.9597989949749</v>
      </c>
    </row>
    <row r="228" spans="1:3">
      <c r="A228" t="s">
        <v>713</v>
      </c>
      <c r="B228" t="s">
        <v>5043</v>
      </c>
      <c r="C228" s="98">
        <f>VLOOKUP(A228,References!$C:$D,2,0)</f>
        <v>231.9597989949749</v>
      </c>
    </row>
    <row r="229" spans="1:3">
      <c r="A229" t="s">
        <v>715</v>
      </c>
      <c r="B229" t="s">
        <v>715</v>
      </c>
      <c r="C229" s="98">
        <f>VLOOKUP(A229,References!$C:$D,2,0)</f>
        <v>188.40816326530611</v>
      </c>
    </row>
    <row r="230" spans="1:3">
      <c r="A230" t="s">
        <v>719</v>
      </c>
      <c r="B230" t="s">
        <v>719</v>
      </c>
      <c r="C230" s="98">
        <f>VLOOKUP(A230,References!$C:$D,2,0)</f>
        <v>231.9597989949749</v>
      </c>
    </row>
    <row r="231" spans="1:3">
      <c r="A231" t="s">
        <v>723</v>
      </c>
      <c r="B231" t="s">
        <v>5044</v>
      </c>
      <c r="C231" s="98">
        <f>VLOOKUP(A231,References!$C:$D,2,0)</f>
        <v>231.9597989949749</v>
      </c>
    </row>
    <row r="232" spans="1:3">
      <c r="A232" t="s">
        <v>725</v>
      </c>
      <c r="B232" t="s">
        <v>725</v>
      </c>
      <c r="C232" s="98">
        <f>VLOOKUP(A232,References!$C:$D,2,0)</f>
        <v>188.40816326530611</v>
      </c>
    </row>
    <row r="233" spans="1:3">
      <c r="A233" t="s">
        <v>729</v>
      </c>
      <c r="B233" t="s">
        <v>729</v>
      </c>
      <c r="C233" s="98">
        <f>VLOOKUP(A233,References!$C:$D,2,0)</f>
        <v>191.53526970954357</v>
      </c>
    </row>
    <row r="234" spans="1:3">
      <c r="A234" t="s">
        <v>733</v>
      </c>
      <c r="B234" t="s">
        <v>733</v>
      </c>
      <c r="C234" s="98">
        <f>VLOOKUP(A234,References!$C:$D,2,0)</f>
        <v>231.9597989949749</v>
      </c>
    </row>
    <row r="235" spans="1:3">
      <c r="A235" t="s">
        <v>709</v>
      </c>
      <c r="B235" t="s">
        <v>5045</v>
      </c>
      <c r="C235" s="98">
        <f>VLOOKUP(A235,References!$C:$D,2,0)</f>
        <v>231.9597989949749</v>
      </c>
    </row>
    <row r="236" spans="1:3">
      <c r="A236" t="s">
        <v>248</v>
      </c>
      <c r="B236" t="s">
        <v>5046</v>
      </c>
      <c r="C236" s="98">
        <f>VLOOKUP(A236,References!$C:$D,2,0)</f>
        <v>231.9597989949749</v>
      </c>
    </row>
    <row r="237" spans="1:3">
      <c r="A237" t="s">
        <v>737</v>
      </c>
      <c r="B237" t="s">
        <v>737</v>
      </c>
      <c r="C237" s="98">
        <f>VLOOKUP(A237,References!$C:$D,2,0)</f>
        <v>188.40816326530611</v>
      </c>
    </row>
    <row r="238" spans="1:3">
      <c r="A238" t="s">
        <v>741</v>
      </c>
      <c r="B238" t="s">
        <v>741</v>
      </c>
      <c r="C238" s="98">
        <f>VLOOKUP(A238,References!$C:$D,2,0)</f>
        <v>231.9597989949749</v>
      </c>
    </row>
    <row r="239" spans="1:3">
      <c r="A239" t="s">
        <v>745</v>
      </c>
      <c r="B239" t="s">
        <v>745</v>
      </c>
      <c r="C239" s="98">
        <f>VLOOKUP(A239,References!$C:$D,2,0)</f>
        <v>231.9597989949749</v>
      </c>
    </row>
    <row r="240" spans="1:3">
      <c r="A240" t="s">
        <v>749</v>
      </c>
      <c r="B240" t="s">
        <v>749</v>
      </c>
      <c r="C240" s="98">
        <f>VLOOKUP(A240,References!$C:$D,2,0)</f>
        <v>231.9597989949749</v>
      </c>
    </row>
    <row r="241" spans="1:3">
      <c r="A241" t="s">
        <v>90</v>
      </c>
      <c r="B241" t="s">
        <v>5047</v>
      </c>
      <c r="C241" s="98">
        <f>VLOOKUP(A241,References!$C:$D,2,0)</f>
        <v>95.938375350140063</v>
      </c>
    </row>
    <row r="242" spans="1:3">
      <c r="A242" t="s">
        <v>306</v>
      </c>
      <c r="B242" t="s">
        <v>5048</v>
      </c>
      <c r="C242" s="98">
        <f>VLOOKUP(A242,References!$C:$D,2,0)</f>
        <v>188.40816326530611</v>
      </c>
    </row>
    <row r="243" spans="1:3">
      <c r="A243" t="s">
        <v>88</v>
      </c>
      <c r="B243" t="s">
        <v>5049</v>
      </c>
      <c r="C243" s="98">
        <f>VLOOKUP(A243,References!$C:$D,2,0)</f>
        <v>217.73584905660377</v>
      </c>
    </row>
    <row r="244" spans="1:3">
      <c r="A244" t="s">
        <v>753</v>
      </c>
      <c r="B244" t="s">
        <v>753</v>
      </c>
      <c r="C244" s="98">
        <f>VLOOKUP(A244,References!$C:$D,2,0)</f>
        <v>95.938375350140063</v>
      </c>
    </row>
    <row r="245" spans="1:3">
      <c r="A245" t="s">
        <v>757</v>
      </c>
      <c r="B245" t="s">
        <v>757</v>
      </c>
      <c r="C245" s="98">
        <f>VLOOKUP(A245,References!$C:$D,2,0)</f>
        <v>188.40816326530611</v>
      </c>
    </row>
    <row r="246" spans="1:3">
      <c r="A246" t="s">
        <v>761</v>
      </c>
      <c r="B246" t="s">
        <v>761</v>
      </c>
      <c r="C246" s="98">
        <f>VLOOKUP(A246,References!$C:$D,2,0)</f>
        <v>231.9597989949749</v>
      </c>
    </row>
    <row r="247" spans="1:3">
      <c r="A247" t="s">
        <v>765</v>
      </c>
      <c r="B247" t="s">
        <v>765</v>
      </c>
      <c r="C247" s="98">
        <f>VLOOKUP(A247,References!$C:$D,2,0)</f>
        <v>188.40816326530611</v>
      </c>
    </row>
    <row r="248" spans="1:3">
      <c r="A248" t="s">
        <v>769</v>
      </c>
      <c r="B248" t="s">
        <v>769</v>
      </c>
      <c r="C248" s="98">
        <f>VLOOKUP(A248,References!$C:$D,2,0)</f>
        <v>106.69781931464175</v>
      </c>
    </row>
    <row r="249" spans="1:3">
      <c r="A249" t="s">
        <v>773</v>
      </c>
      <c r="B249" t="s">
        <v>773</v>
      </c>
      <c r="C249" s="98">
        <f>VLOOKUP(A249,References!$C:$D,2,0)</f>
        <v>106.69781931464175</v>
      </c>
    </row>
    <row r="250" spans="1:3">
      <c r="A250" t="s">
        <v>777</v>
      </c>
      <c r="B250" t="s">
        <v>777</v>
      </c>
      <c r="C250" s="98">
        <f>VLOOKUP(A250,References!$C:$D,2,0)</f>
        <v>191.53526970954357</v>
      </c>
    </row>
    <row r="251" spans="1:3">
      <c r="A251" t="s">
        <v>676</v>
      </c>
      <c r="B251" t="s">
        <v>5050</v>
      </c>
      <c r="C251" s="98">
        <f>VLOOKUP(A251,References!$C:$D,2,0)</f>
        <v>231.9597989949749</v>
      </c>
    </row>
    <row r="252" spans="1:3">
      <c r="A252" t="s">
        <v>199</v>
      </c>
      <c r="B252" t="s">
        <v>5051</v>
      </c>
      <c r="C252" s="98">
        <f>VLOOKUP(A252,References!$C:$D,2,0)</f>
        <v>231.9597989949749</v>
      </c>
    </row>
    <row r="253" spans="1:3">
      <c r="A253" t="s">
        <v>676</v>
      </c>
      <c r="B253" t="s">
        <v>676</v>
      </c>
      <c r="C253" s="98">
        <f>VLOOKUP(A253,References!$C:$D,2,0)</f>
        <v>231.9597989949749</v>
      </c>
    </row>
    <row r="254" spans="1:3">
      <c r="A254" t="s">
        <v>97</v>
      </c>
      <c r="B254" t="s">
        <v>5052</v>
      </c>
      <c r="C254" s="98">
        <f>VLOOKUP(A254,References!$C:$D,2,0)</f>
        <v>95.938375350140063</v>
      </c>
    </row>
    <row r="255" spans="1:3">
      <c r="A255" t="s">
        <v>783</v>
      </c>
      <c r="B255" t="s">
        <v>783</v>
      </c>
      <c r="C255" s="98">
        <f>VLOOKUP(A255,References!$C:$D,2,0)</f>
        <v>2</v>
      </c>
    </row>
    <row r="256" spans="1:3">
      <c r="A256" t="s">
        <v>622</v>
      </c>
      <c r="B256" t="s">
        <v>5053</v>
      </c>
      <c r="C256" s="98">
        <f>VLOOKUP(A256,References!$C:$D,2,0)</f>
        <v>95.938375350140063</v>
      </c>
    </row>
    <row r="257" spans="1:3">
      <c r="A257" t="s">
        <v>786</v>
      </c>
      <c r="B257" t="s">
        <v>786</v>
      </c>
      <c r="C257" s="98">
        <f>VLOOKUP(A257,References!$C:$D,2,0)</f>
        <v>106.69781931464175</v>
      </c>
    </row>
    <row r="258" spans="1:3">
      <c r="A258" t="s">
        <v>789</v>
      </c>
      <c r="B258" t="s">
        <v>789</v>
      </c>
      <c r="C258" s="98">
        <f>VLOOKUP(A258,References!$C:$D,2,0)</f>
        <v>234.31472081218274</v>
      </c>
    </row>
    <row r="259" spans="1:3">
      <c r="A259" t="s">
        <v>306</v>
      </c>
      <c r="B259" t="s">
        <v>5054</v>
      </c>
      <c r="C259" s="98">
        <f>VLOOKUP(A259,References!$C:$D,2,0)</f>
        <v>188.40816326530611</v>
      </c>
    </row>
    <row r="260" spans="1:3">
      <c r="A260" t="s">
        <v>793</v>
      </c>
      <c r="B260" t="s">
        <v>793</v>
      </c>
      <c r="C260" s="98">
        <f>VLOOKUP(A260,References!$C:$D,2,0)</f>
        <v>106.69781931464175</v>
      </c>
    </row>
    <row r="261" spans="1:3">
      <c r="A261" t="s">
        <v>797</v>
      </c>
      <c r="B261" t="s">
        <v>797</v>
      </c>
      <c r="C261" s="98">
        <f>VLOOKUP(A261,References!$C:$D,2,0)</f>
        <v>217.73584905660377</v>
      </c>
    </row>
    <row r="262" spans="1:3">
      <c r="A262" t="s">
        <v>723</v>
      </c>
      <c r="B262" t="s">
        <v>723</v>
      </c>
      <c r="C262" s="98">
        <f>VLOOKUP(A262,References!$C:$D,2,0)</f>
        <v>231.9597989949749</v>
      </c>
    </row>
    <row r="263" spans="1:3">
      <c r="A263" t="s">
        <v>803</v>
      </c>
      <c r="B263" t="s">
        <v>803</v>
      </c>
      <c r="C263" s="98">
        <f>VLOOKUP(A263,References!$C:$D,2,0)</f>
        <v>260.79096045197741</v>
      </c>
    </row>
    <row r="264" spans="1:3">
      <c r="A264" t="s">
        <v>807</v>
      </c>
      <c r="B264" t="s">
        <v>807</v>
      </c>
      <c r="C264" s="98">
        <f>VLOOKUP(A264,References!$C:$D,2,0)</f>
        <v>95.938375350140063</v>
      </c>
    </row>
    <row r="265" spans="1:3">
      <c r="A265" t="s">
        <v>328</v>
      </c>
      <c r="B265" t="s">
        <v>5055</v>
      </c>
      <c r="C265" s="98">
        <f>VLOOKUP(A265,References!$C:$D,2,0)</f>
        <v>2</v>
      </c>
    </row>
    <row r="266" spans="1:3">
      <c r="A266" t="s">
        <v>811</v>
      </c>
      <c r="B266" t="s">
        <v>811</v>
      </c>
      <c r="C266" s="98">
        <f>VLOOKUP(A266,References!$C:$D,2,0)</f>
        <v>217.73584905660377</v>
      </c>
    </row>
    <row r="267" spans="1:3">
      <c r="A267" t="s">
        <v>814</v>
      </c>
      <c r="B267" t="s">
        <v>814</v>
      </c>
      <c r="C267" s="98">
        <f>VLOOKUP(A267,References!$C:$D,2,0)</f>
        <v>95.938375350140063</v>
      </c>
    </row>
    <row r="268" spans="1:3">
      <c r="A268" t="s">
        <v>817</v>
      </c>
      <c r="B268" t="s">
        <v>817</v>
      </c>
      <c r="C268" s="98">
        <f>VLOOKUP(A268,References!$C:$D,2,0)</f>
        <v>2</v>
      </c>
    </row>
    <row r="269" spans="1:3">
      <c r="A269" t="s">
        <v>820</v>
      </c>
      <c r="B269" t="s">
        <v>820</v>
      </c>
      <c r="C269" s="98">
        <f>VLOOKUP(A269,References!$C:$D,2,0)</f>
        <v>2</v>
      </c>
    </row>
    <row r="270" spans="1:3">
      <c r="A270" t="s">
        <v>410</v>
      </c>
      <c r="B270" t="s">
        <v>5056</v>
      </c>
      <c r="C270" s="98">
        <f>VLOOKUP(A270,References!$C:$D,2,0)</f>
        <v>95.938375350140063</v>
      </c>
    </row>
    <row r="271" spans="1:3">
      <c r="A271" t="s">
        <v>823</v>
      </c>
      <c r="B271" t="s">
        <v>823</v>
      </c>
      <c r="C271" s="98">
        <f>VLOOKUP(A271,References!$C:$D,2,0)</f>
        <v>260.79096045197741</v>
      </c>
    </row>
    <row r="272" spans="1:3">
      <c r="A272" t="s">
        <v>827</v>
      </c>
      <c r="B272" t="s">
        <v>827</v>
      </c>
      <c r="C272" s="98">
        <f>VLOOKUP(A272,References!$C:$D,2,0)</f>
        <v>95.938375350140063</v>
      </c>
    </row>
    <row r="273" spans="1:3">
      <c r="A273" t="s">
        <v>831</v>
      </c>
      <c r="B273" t="s">
        <v>831</v>
      </c>
      <c r="C273" s="98">
        <f>VLOOKUP(A273,References!$C:$D,2,0)</f>
        <v>95.938375350140063</v>
      </c>
    </row>
    <row r="274" spans="1:3">
      <c r="A274" t="s">
        <v>835</v>
      </c>
      <c r="B274" t="s">
        <v>835</v>
      </c>
      <c r="C274" s="98">
        <f>VLOOKUP(A274,References!$C:$D,2,0)</f>
        <v>95.938375350140063</v>
      </c>
    </row>
    <row r="275" spans="1:3">
      <c r="A275" t="s">
        <v>807</v>
      </c>
      <c r="B275" t="s">
        <v>5057</v>
      </c>
      <c r="C275" s="98">
        <f>VLOOKUP(A275,References!$C:$D,2,0)</f>
        <v>95.938375350140063</v>
      </c>
    </row>
    <row r="276" spans="1:3">
      <c r="A276" t="s">
        <v>176</v>
      </c>
      <c r="B276" t="s">
        <v>5058</v>
      </c>
      <c r="C276" s="98">
        <f>VLOOKUP(A276,References!$C:$D,2,0)</f>
        <v>95.938375350140063</v>
      </c>
    </row>
    <row r="277" spans="1:3">
      <c r="A277" t="s">
        <v>410</v>
      </c>
      <c r="B277" t="s">
        <v>5059</v>
      </c>
      <c r="C277" s="98">
        <f>VLOOKUP(A277,References!$C:$D,2,0)</f>
        <v>95.938375350140063</v>
      </c>
    </row>
    <row r="278" spans="1:3">
      <c r="A278" t="s">
        <v>622</v>
      </c>
      <c r="B278" t="s">
        <v>5060</v>
      </c>
      <c r="C278" s="98">
        <f>VLOOKUP(A278,References!$C:$D,2,0)</f>
        <v>95.938375350140063</v>
      </c>
    </row>
    <row r="279" spans="1:3">
      <c r="A279" t="s">
        <v>90</v>
      </c>
      <c r="B279" t="s">
        <v>5061</v>
      </c>
      <c r="C279" s="98">
        <f>VLOOKUP(A279,References!$C:$D,2,0)</f>
        <v>95.938375350140063</v>
      </c>
    </row>
    <row r="280" spans="1:3">
      <c r="A280" t="s">
        <v>814</v>
      </c>
      <c r="B280" t="s">
        <v>5062</v>
      </c>
      <c r="C280" s="98">
        <f>VLOOKUP(A280,References!$C:$D,2,0)</f>
        <v>95.938375350140063</v>
      </c>
    </row>
    <row r="281" spans="1:3">
      <c r="A281" t="s">
        <v>839</v>
      </c>
      <c r="B281" t="s">
        <v>839</v>
      </c>
      <c r="C281" s="98">
        <f>VLOOKUP(A281,References!$C:$D,2,0)</f>
        <v>260.79096045197741</v>
      </c>
    </row>
    <row r="282" spans="1:3">
      <c r="A282" t="s">
        <v>823</v>
      </c>
      <c r="B282" t="s">
        <v>5063</v>
      </c>
      <c r="C282" s="98">
        <f>VLOOKUP(A282,References!$C:$D,2,0)</f>
        <v>260.79096045197741</v>
      </c>
    </row>
    <row r="283" spans="1:3">
      <c r="A283" t="s">
        <v>713</v>
      </c>
      <c r="B283" t="s">
        <v>713</v>
      </c>
      <c r="C283" s="98">
        <f>VLOOKUP(A283,References!$C:$D,2,0)</f>
        <v>231.9597989949749</v>
      </c>
    </row>
    <row r="284" spans="1:3">
      <c r="A284" t="s">
        <v>845</v>
      </c>
      <c r="B284" t="s">
        <v>845</v>
      </c>
      <c r="C284" s="98">
        <f>VLOOKUP(A284,References!$C:$D,2,0)</f>
        <v>260.79096045197741</v>
      </c>
    </row>
    <row r="285" spans="1:3">
      <c r="A285" t="s">
        <v>413</v>
      </c>
      <c r="B285" t="s">
        <v>5064</v>
      </c>
      <c r="C285" s="98">
        <f>VLOOKUP(A285,References!$C:$D,2,0)</f>
        <v>260.79096045197741</v>
      </c>
    </row>
    <row r="286" spans="1:3">
      <c r="A286" t="s">
        <v>849</v>
      </c>
      <c r="B286" t="s">
        <v>5065</v>
      </c>
      <c r="C286" s="98">
        <f>VLOOKUP(A286,References!$C:$D,2,0)</f>
        <v>260.79096045197741</v>
      </c>
    </row>
    <row r="287" spans="1:3">
      <c r="A287" t="s">
        <v>256</v>
      </c>
      <c r="B287" t="s">
        <v>5066</v>
      </c>
      <c r="C287" s="98">
        <f>VLOOKUP(A287,References!$C:$D,2,0)</f>
        <v>260.79096045197741</v>
      </c>
    </row>
    <row r="288" spans="1:3">
      <c r="A288" t="s">
        <v>851</v>
      </c>
      <c r="B288" t="s">
        <v>851</v>
      </c>
      <c r="C288" s="98">
        <f>VLOOKUP(A288,References!$C:$D,2,0)</f>
        <v>2</v>
      </c>
    </row>
    <row r="289" spans="1:3">
      <c r="A289" t="s">
        <v>803</v>
      </c>
      <c r="B289" t="s">
        <v>5067</v>
      </c>
      <c r="C289" s="98">
        <f>VLOOKUP(A289,References!$C:$D,2,0)</f>
        <v>260.79096045197741</v>
      </c>
    </row>
    <row r="290" spans="1:3">
      <c r="A290" t="s">
        <v>403</v>
      </c>
      <c r="B290" t="s">
        <v>5068</v>
      </c>
      <c r="C290" s="98">
        <f>VLOOKUP(A290,References!$C:$D,2,0)</f>
        <v>260.79096045197741</v>
      </c>
    </row>
    <row r="291" spans="1:3">
      <c r="A291" t="s">
        <v>854</v>
      </c>
      <c r="B291" t="s">
        <v>854</v>
      </c>
      <c r="C291" s="98">
        <f>VLOOKUP(A291,References!$C:$D,2,0)</f>
        <v>260.79096045197741</v>
      </c>
    </row>
    <row r="292" spans="1:3">
      <c r="A292" t="s">
        <v>858</v>
      </c>
      <c r="B292" t="s">
        <v>858</v>
      </c>
      <c r="C292" s="98">
        <f>VLOOKUP(A292,References!$C:$D,2,0)</f>
        <v>260.79096045197741</v>
      </c>
    </row>
    <row r="293" spans="1:3">
      <c r="A293" t="s">
        <v>862</v>
      </c>
      <c r="B293" t="s">
        <v>862</v>
      </c>
      <c r="C293" s="98">
        <f>VLOOKUP(A293,References!$C:$D,2,0)</f>
        <v>135.75539568345323</v>
      </c>
    </row>
    <row r="294" spans="1:3">
      <c r="A294" t="s">
        <v>866</v>
      </c>
      <c r="B294" t="s">
        <v>866</v>
      </c>
      <c r="C294" s="98">
        <f>VLOOKUP(A294,References!$C:$D,2,0)</f>
        <v>135.75539568345323</v>
      </c>
    </row>
    <row r="295" spans="1:3">
      <c r="A295" t="s">
        <v>870</v>
      </c>
      <c r="B295" t="s">
        <v>870</v>
      </c>
      <c r="C295" s="98">
        <f>VLOOKUP(A295,References!$C:$D,2,0)</f>
        <v>135.75539568345323</v>
      </c>
    </row>
    <row r="296" spans="1:3">
      <c r="A296" t="s">
        <v>874</v>
      </c>
      <c r="B296" t="s">
        <v>874</v>
      </c>
      <c r="C296" s="98">
        <f>VLOOKUP(A296,References!$C:$D,2,0)</f>
        <v>135.75539568345323</v>
      </c>
    </row>
    <row r="297" spans="1:3">
      <c r="A297" t="s">
        <v>866</v>
      </c>
      <c r="B297" t="s">
        <v>5069</v>
      </c>
      <c r="C297" s="98">
        <f>VLOOKUP(A297,References!$C:$D,2,0)</f>
        <v>135.75539568345323</v>
      </c>
    </row>
    <row r="298" spans="1:3">
      <c r="A298" t="s">
        <v>878</v>
      </c>
      <c r="B298" t="s">
        <v>878</v>
      </c>
      <c r="C298" s="98">
        <f>VLOOKUP(A298,References!$C:$D,2,0)</f>
        <v>135.75539568345323</v>
      </c>
    </row>
    <row r="299" spans="1:3">
      <c r="A299" t="s">
        <v>882</v>
      </c>
      <c r="B299" t="s">
        <v>882</v>
      </c>
      <c r="C299" s="98">
        <f>VLOOKUP(A299,References!$C:$D,2,0)</f>
        <v>135.75539568345323</v>
      </c>
    </row>
    <row r="300" spans="1:3">
      <c r="A300" t="s">
        <v>886</v>
      </c>
      <c r="B300" t="s">
        <v>5070</v>
      </c>
      <c r="C300" s="98">
        <f>VLOOKUP(A300,References!$C:$D,2,0)</f>
        <v>135.75539568345323</v>
      </c>
    </row>
    <row r="301" spans="1:3">
      <c r="A301" t="s">
        <v>886</v>
      </c>
      <c r="B301" t="s">
        <v>886</v>
      </c>
      <c r="C301" s="98">
        <f>VLOOKUP(A301,References!$C:$D,2,0)</f>
        <v>135.75539568345323</v>
      </c>
    </row>
    <row r="302" spans="1:3">
      <c r="A302" t="s">
        <v>421</v>
      </c>
      <c r="B302" t="s">
        <v>5071</v>
      </c>
      <c r="C302" s="98">
        <f>VLOOKUP(A302,References!$C:$D,2,0)</f>
        <v>135.75539568345323</v>
      </c>
    </row>
    <row r="303" spans="1:3">
      <c r="A303" t="s">
        <v>890</v>
      </c>
      <c r="B303" t="s">
        <v>890</v>
      </c>
      <c r="C303" s="98">
        <f>VLOOKUP(A303,References!$C:$D,2,0)</f>
        <v>135.75539568345323</v>
      </c>
    </row>
    <row r="304" spans="1:3">
      <c r="A304" t="s">
        <v>895</v>
      </c>
      <c r="B304" t="s">
        <v>895</v>
      </c>
      <c r="C304" s="98">
        <f>VLOOKUP(A304,References!$C:$D,2,0)</f>
        <v>135.75539568345323</v>
      </c>
    </row>
    <row r="305" spans="1:3">
      <c r="A305" t="s">
        <v>899</v>
      </c>
      <c r="B305" t="s">
        <v>899</v>
      </c>
      <c r="C305" s="98">
        <f>VLOOKUP(A305,References!$C:$D,2,0)</f>
        <v>95.938375350140063</v>
      </c>
    </row>
    <row r="306" spans="1:3">
      <c r="A306" t="s">
        <v>849</v>
      </c>
      <c r="B306" t="s">
        <v>849</v>
      </c>
      <c r="C306" s="98">
        <f>VLOOKUP(A306,References!$C:$D,2,0)</f>
        <v>260.79096045197741</v>
      </c>
    </row>
    <row r="307" spans="1:3">
      <c r="A307" t="s">
        <v>905</v>
      </c>
      <c r="B307" t="s">
        <v>905</v>
      </c>
      <c r="C307" s="98">
        <f>VLOOKUP(A307,References!$C:$D,2,0)</f>
        <v>95.938375350140063</v>
      </c>
    </row>
    <row r="308" spans="1:3">
      <c r="A308" t="s">
        <v>909</v>
      </c>
      <c r="B308" t="s">
        <v>909</v>
      </c>
      <c r="C308" s="98">
        <f>VLOOKUP(A308,References!$C:$D,2,0)</f>
        <v>95.938375350140063</v>
      </c>
    </row>
    <row r="309" spans="1:3">
      <c r="A309" t="s">
        <v>360</v>
      </c>
      <c r="B309" t="s">
        <v>360</v>
      </c>
      <c r="C309" s="98">
        <f>VLOOKUP(A309,References!$C:$D,2,0)</f>
        <v>231.9597989949749</v>
      </c>
    </row>
    <row r="310" spans="1:3">
      <c r="A310" t="s">
        <v>913</v>
      </c>
      <c r="B310" t="s">
        <v>913</v>
      </c>
      <c r="C310" s="98">
        <f>VLOOKUP(A310,References!$C:$D,2,0)</f>
        <v>95.938375350140063</v>
      </c>
    </row>
    <row r="311" spans="1:3">
      <c r="A311" t="s">
        <v>917</v>
      </c>
      <c r="B311" t="s">
        <v>917</v>
      </c>
      <c r="C311" s="98">
        <f>VLOOKUP(A311,References!$C:$D,2,0)</f>
        <v>95.938375350140063</v>
      </c>
    </row>
    <row r="312" spans="1:3">
      <c r="A312" t="s">
        <v>337</v>
      </c>
      <c r="B312" t="s">
        <v>5072</v>
      </c>
      <c r="C312" s="98">
        <f>VLOOKUP(A312,References!$C:$D,2,0)</f>
        <v>144.25</v>
      </c>
    </row>
    <row r="313" spans="1:3">
      <c r="A313" t="s">
        <v>921</v>
      </c>
      <c r="B313" t="s">
        <v>921</v>
      </c>
      <c r="C313" s="98">
        <f>VLOOKUP(A313,References!$C:$D,2,0)</f>
        <v>3</v>
      </c>
    </row>
    <row r="314" spans="1:3">
      <c r="A314" t="s">
        <v>924</v>
      </c>
      <c r="B314" t="s">
        <v>924</v>
      </c>
      <c r="C314" s="98">
        <f>VLOOKUP(A314,References!$C:$D,2,0)</f>
        <v>95.938375350140063</v>
      </c>
    </row>
    <row r="315" spans="1:3">
      <c r="A315" t="s">
        <v>928</v>
      </c>
      <c r="B315" t="s">
        <v>928</v>
      </c>
      <c r="C315" s="98">
        <f>VLOOKUP(A315,References!$C:$D,2,0)</f>
        <v>106.69781931464175</v>
      </c>
    </row>
    <row r="316" spans="1:3">
      <c r="A316" t="s">
        <v>773</v>
      </c>
      <c r="B316" t="s">
        <v>5073</v>
      </c>
      <c r="C316" s="98">
        <f>VLOOKUP(A316,References!$C:$D,2,0)</f>
        <v>106.69781931464175</v>
      </c>
    </row>
    <row r="317" spans="1:3">
      <c r="A317" t="s">
        <v>124</v>
      </c>
      <c r="B317" t="s">
        <v>5074</v>
      </c>
      <c r="C317" s="98">
        <f>VLOOKUP(A317,References!$C:$D,2,0)</f>
        <v>106.69781931464175</v>
      </c>
    </row>
    <row r="318" spans="1:3">
      <c r="A318" t="s">
        <v>932</v>
      </c>
      <c r="B318" t="s">
        <v>932</v>
      </c>
      <c r="C318" s="98">
        <f>VLOOKUP(A318,References!$C:$D,2,0)</f>
        <v>106.69781931464175</v>
      </c>
    </row>
    <row r="319" spans="1:3">
      <c r="A319" t="s">
        <v>793</v>
      </c>
      <c r="B319" t="s">
        <v>5075</v>
      </c>
      <c r="C319" s="98">
        <f>VLOOKUP(A319,References!$C:$D,2,0)</f>
        <v>106.69781931464175</v>
      </c>
    </row>
    <row r="320" spans="1:3">
      <c r="A320" t="s">
        <v>769</v>
      </c>
      <c r="B320" t="s">
        <v>5076</v>
      </c>
      <c r="C320" s="98">
        <f>VLOOKUP(A320,References!$C:$D,2,0)</f>
        <v>106.69781931464175</v>
      </c>
    </row>
    <row r="321" spans="1:3">
      <c r="A321" t="s">
        <v>41</v>
      </c>
      <c r="B321" t="s">
        <v>5077</v>
      </c>
      <c r="C321" s="98">
        <f>VLOOKUP(A321,References!$C:$D,2,0)</f>
        <v>106.69781931464175</v>
      </c>
    </row>
    <row r="322" spans="1:3">
      <c r="A322" t="s">
        <v>938</v>
      </c>
      <c r="B322" t="s">
        <v>938</v>
      </c>
      <c r="C322" s="98">
        <f>VLOOKUP(A322,References!$C:$D,2,0)</f>
        <v>131.73076923076923</v>
      </c>
    </row>
    <row r="323" spans="1:3">
      <c r="A323" t="s">
        <v>943</v>
      </c>
      <c r="B323" t="s">
        <v>5078</v>
      </c>
      <c r="C323" s="98">
        <f>VLOOKUP(A323,References!$C:$D,2,0)</f>
        <v>246.84491978609626</v>
      </c>
    </row>
    <row r="324" spans="1:3">
      <c r="A324" t="s">
        <v>945</v>
      </c>
      <c r="B324" t="s">
        <v>945</v>
      </c>
      <c r="C324" s="98">
        <f>VLOOKUP(A324,References!$C:$D,2,0)</f>
        <v>2</v>
      </c>
    </row>
    <row r="325" spans="1:3">
      <c r="A325" t="s">
        <v>949</v>
      </c>
      <c r="B325" t="s">
        <v>949</v>
      </c>
      <c r="C325" s="98">
        <f>VLOOKUP(A325,References!$C:$D,2,0)</f>
        <v>131.73076923076923</v>
      </c>
    </row>
    <row r="326" spans="1:3">
      <c r="A326" t="s">
        <v>953</v>
      </c>
      <c r="B326" t="s">
        <v>953</v>
      </c>
      <c r="C326" s="98">
        <f>VLOOKUP(A326,References!$C:$D,2,0)</f>
        <v>131.73076923076923</v>
      </c>
    </row>
    <row r="327" spans="1:3">
      <c r="A327" t="s">
        <v>957</v>
      </c>
      <c r="B327" t="s">
        <v>957</v>
      </c>
      <c r="C327" s="98">
        <f>VLOOKUP(A327,References!$C:$D,2,0)</f>
        <v>246.84491978609626</v>
      </c>
    </row>
    <row r="328" spans="1:3">
      <c r="A328" t="s">
        <v>960</v>
      </c>
      <c r="B328" t="s">
        <v>960</v>
      </c>
      <c r="C328" s="98">
        <f>VLOOKUP(A328,References!$C:$D,2,0)</f>
        <v>209.81818181818181</v>
      </c>
    </row>
    <row r="329" spans="1:3">
      <c r="A329" t="s">
        <v>963</v>
      </c>
      <c r="B329" t="s">
        <v>963</v>
      </c>
      <c r="C329" s="98">
        <f>VLOOKUP(A329,References!$C:$D,2,0)</f>
        <v>246.84491978609626</v>
      </c>
    </row>
    <row r="330" spans="1:3">
      <c r="A330" t="s">
        <v>967</v>
      </c>
      <c r="B330" t="s">
        <v>967</v>
      </c>
      <c r="C330" s="98">
        <f>VLOOKUP(A330,References!$C:$D,2,0)</f>
        <v>246.84491978609626</v>
      </c>
    </row>
    <row r="331" spans="1:3">
      <c r="A331" t="s">
        <v>970</v>
      </c>
      <c r="B331" t="s">
        <v>970</v>
      </c>
      <c r="C331" s="98">
        <f>VLOOKUP(A331,References!$C:$D,2,0)</f>
        <v>209.81818181818181</v>
      </c>
    </row>
    <row r="332" spans="1:3">
      <c r="A332" t="s">
        <v>974</v>
      </c>
      <c r="B332" t="s">
        <v>974</v>
      </c>
      <c r="C332" s="98">
        <f>VLOOKUP(A332,References!$C:$D,2,0)</f>
        <v>246.84491978609626</v>
      </c>
    </row>
    <row r="333" spans="1:3">
      <c r="A333" t="s">
        <v>977</v>
      </c>
      <c r="B333" t="s">
        <v>977</v>
      </c>
      <c r="C333" s="98">
        <f>VLOOKUP(A333,References!$C:$D,2,0)</f>
        <v>159.30232558139537</v>
      </c>
    </row>
    <row r="334" spans="1:3">
      <c r="A334" t="s">
        <v>982</v>
      </c>
      <c r="B334" t="s">
        <v>5079</v>
      </c>
      <c r="C334" s="98">
        <f>VLOOKUP(A334,References!$C:$D,2,0)</f>
        <v>246.84491978609626</v>
      </c>
    </row>
    <row r="335" spans="1:3">
      <c r="A335" t="s">
        <v>986</v>
      </c>
      <c r="B335" t="s">
        <v>986</v>
      </c>
      <c r="C335" s="98">
        <f>VLOOKUP(A335,References!$C:$D,2,0)</f>
        <v>159.30232558139537</v>
      </c>
    </row>
    <row r="336" spans="1:3">
      <c r="A336" t="s">
        <v>990</v>
      </c>
      <c r="B336" t="s">
        <v>990</v>
      </c>
      <c r="C336" s="98">
        <f>VLOOKUP(A336,References!$C:$D,2,0)</f>
        <v>135.75539568345323</v>
      </c>
    </row>
    <row r="337" spans="1:3">
      <c r="A337" t="s">
        <v>994</v>
      </c>
      <c r="B337" t="s">
        <v>5080</v>
      </c>
      <c r="C337" s="98">
        <f>VLOOKUP(A337,References!$C:$D,2,0)</f>
        <v>246.84491978609626</v>
      </c>
    </row>
    <row r="338" spans="1:3">
      <c r="A338" t="s">
        <v>995</v>
      </c>
      <c r="B338" t="s">
        <v>5081</v>
      </c>
      <c r="C338" s="98">
        <f>VLOOKUP(A338,References!$C:$D,2,0)</f>
        <v>135.75539568345323</v>
      </c>
    </row>
    <row r="339" spans="1:3">
      <c r="A339" t="s">
        <v>998</v>
      </c>
      <c r="B339" t="s">
        <v>998</v>
      </c>
      <c r="C339" s="98">
        <f>VLOOKUP(A339,References!$C:$D,2,0)</f>
        <v>246.84491978609626</v>
      </c>
    </row>
    <row r="340" spans="1:3">
      <c r="A340" t="s">
        <v>1002</v>
      </c>
      <c r="B340" t="s">
        <v>1002</v>
      </c>
      <c r="C340" s="98">
        <f>VLOOKUP(A340,References!$C:$D,2,0)</f>
        <v>209.81818181818181</v>
      </c>
    </row>
    <row r="341" spans="1:3">
      <c r="A341" t="s">
        <v>1005</v>
      </c>
      <c r="B341" t="s">
        <v>1005</v>
      </c>
      <c r="C341" s="98">
        <f>VLOOKUP(A341,References!$C:$D,2,0)</f>
        <v>131.73076923076923</v>
      </c>
    </row>
    <row r="342" spans="1:3">
      <c r="A342" t="s">
        <v>1009</v>
      </c>
      <c r="B342" t="s">
        <v>1009</v>
      </c>
      <c r="C342" s="98">
        <f>VLOOKUP(A342,References!$C:$D,2,0)</f>
        <v>246.84491978609626</v>
      </c>
    </row>
    <row r="343" spans="1:3">
      <c r="A343" t="s">
        <v>1013</v>
      </c>
      <c r="B343" t="s">
        <v>1013</v>
      </c>
      <c r="C343" s="98">
        <f>VLOOKUP(A343,References!$C:$D,2,0)</f>
        <v>209.81818181818181</v>
      </c>
    </row>
    <row r="344" spans="1:3">
      <c r="A344" t="s">
        <v>1016</v>
      </c>
      <c r="B344" t="s">
        <v>1016</v>
      </c>
      <c r="C344" s="98">
        <f>VLOOKUP(A344,References!$C:$D,2,0)</f>
        <v>131.73076923076923</v>
      </c>
    </row>
    <row r="345" spans="1:3">
      <c r="A345" t="s">
        <v>994</v>
      </c>
      <c r="B345" t="s">
        <v>994</v>
      </c>
      <c r="C345" s="98">
        <f>VLOOKUP(A345,References!$C:$D,2,0)</f>
        <v>246.84491978609626</v>
      </c>
    </row>
    <row r="346" spans="1:3">
      <c r="A346" t="s">
        <v>1021</v>
      </c>
      <c r="B346" t="s">
        <v>1021</v>
      </c>
      <c r="C346" s="98">
        <f>VLOOKUP(A346,References!$C:$D,2,0)</f>
        <v>159.30232558139537</v>
      </c>
    </row>
    <row r="347" spans="1:3">
      <c r="A347" t="s">
        <v>1024</v>
      </c>
      <c r="B347" t="s">
        <v>1024</v>
      </c>
      <c r="C347" s="98">
        <f>VLOOKUP(A347,References!$C:$D,2,0)</f>
        <v>246.84491978609626</v>
      </c>
    </row>
    <row r="348" spans="1:3">
      <c r="A348" t="s">
        <v>1027</v>
      </c>
      <c r="B348" t="s">
        <v>1027</v>
      </c>
      <c r="C348" s="98">
        <f>VLOOKUP(A348,References!$C:$D,2,0)</f>
        <v>246.84491978609626</v>
      </c>
    </row>
    <row r="349" spans="1:3">
      <c r="A349" t="s">
        <v>1029</v>
      </c>
      <c r="B349" t="s">
        <v>1029</v>
      </c>
      <c r="C349" s="98">
        <f>VLOOKUP(A349,References!$C:$D,2,0)</f>
        <v>135.75539568345323</v>
      </c>
    </row>
    <row r="350" spans="1:3">
      <c r="A350" t="s">
        <v>1033</v>
      </c>
      <c r="B350" t="s">
        <v>1033</v>
      </c>
      <c r="C350" s="98">
        <f>VLOOKUP(A350,References!$C:$D,2,0)</f>
        <v>246.84491978609626</v>
      </c>
    </row>
    <row r="351" spans="1:3">
      <c r="A351" t="s">
        <v>1035</v>
      </c>
      <c r="B351" t="s">
        <v>5082</v>
      </c>
      <c r="C351" s="98">
        <f>VLOOKUP(A351,References!$C:$D,2,0)</f>
        <v>246.84491978609626</v>
      </c>
    </row>
    <row r="352" spans="1:3">
      <c r="A352" t="s">
        <v>1039</v>
      </c>
      <c r="B352" t="s">
        <v>1039</v>
      </c>
      <c r="C352" s="98">
        <f>VLOOKUP(A352,References!$C:$D,2,0)</f>
        <v>209.81818181818181</v>
      </c>
    </row>
    <row r="353" spans="1:3">
      <c r="A353" t="s">
        <v>1042</v>
      </c>
      <c r="B353" t="s">
        <v>1042</v>
      </c>
      <c r="C353" s="98">
        <f>VLOOKUP(A353,References!$C:$D,2,0)</f>
        <v>246.84491978609626</v>
      </c>
    </row>
    <row r="354" spans="1:3">
      <c r="A354" t="s">
        <v>1046</v>
      </c>
      <c r="B354" t="s">
        <v>1046</v>
      </c>
      <c r="C354" s="98">
        <f>VLOOKUP(A354,References!$C:$D,2,0)</f>
        <v>246.84491978609626</v>
      </c>
    </row>
    <row r="355" spans="1:3">
      <c r="A355" t="s">
        <v>1049</v>
      </c>
      <c r="B355" t="s">
        <v>1049</v>
      </c>
      <c r="C355" s="98">
        <f>VLOOKUP(A355,References!$C:$D,2,0)</f>
        <v>246.84491978609626</v>
      </c>
    </row>
    <row r="356" spans="1:3">
      <c r="A356" t="s">
        <v>1053</v>
      </c>
      <c r="B356" t="s">
        <v>1053</v>
      </c>
      <c r="C356" s="98">
        <f>VLOOKUP(A356,References!$C:$D,2,0)</f>
        <v>246.84491978609626</v>
      </c>
    </row>
    <row r="357" spans="1:3">
      <c r="A357" t="s">
        <v>1056</v>
      </c>
      <c r="B357" t="s">
        <v>1056</v>
      </c>
      <c r="C357" s="98">
        <f>VLOOKUP(A357,References!$C:$D,2,0)</f>
        <v>159.30232558139537</v>
      </c>
    </row>
    <row r="358" spans="1:3">
      <c r="A358" t="s">
        <v>1042</v>
      </c>
      <c r="B358" t="s">
        <v>5083</v>
      </c>
      <c r="C358" s="98">
        <f>VLOOKUP(A358,References!$C:$D,2,0)</f>
        <v>246.84491978609626</v>
      </c>
    </row>
    <row r="359" spans="1:3">
      <c r="A359" t="s">
        <v>1060</v>
      </c>
      <c r="B359" t="s">
        <v>1060</v>
      </c>
      <c r="C359" s="98">
        <f>VLOOKUP(A359,References!$C:$D,2,0)</f>
        <v>131.73076923076923</v>
      </c>
    </row>
    <row r="360" spans="1:3">
      <c r="A360" t="s">
        <v>1063</v>
      </c>
      <c r="B360" t="s">
        <v>1063</v>
      </c>
      <c r="C360" s="98">
        <f>VLOOKUP(A360,References!$C:$D,2,0)</f>
        <v>246.84491978609626</v>
      </c>
    </row>
    <row r="361" spans="1:3">
      <c r="A361" t="s">
        <v>1066</v>
      </c>
      <c r="B361" t="s">
        <v>1066</v>
      </c>
      <c r="C361" s="98">
        <f>VLOOKUP(A361,References!$C:$D,2,0)</f>
        <v>209.81818181818181</v>
      </c>
    </row>
    <row r="362" spans="1:3">
      <c r="A362" t="s">
        <v>1069</v>
      </c>
      <c r="B362" t="s">
        <v>1069</v>
      </c>
      <c r="C362" s="98">
        <f>VLOOKUP(A362,References!$C:$D,2,0)</f>
        <v>246.84491978609626</v>
      </c>
    </row>
    <row r="363" spans="1:3">
      <c r="A363" t="s">
        <v>1072</v>
      </c>
      <c r="B363" t="s">
        <v>1072</v>
      </c>
      <c r="C363" s="98">
        <f>VLOOKUP(A363,References!$C:$D,2,0)</f>
        <v>135.75539568345323</v>
      </c>
    </row>
    <row r="364" spans="1:3">
      <c r="A364" t="s">
        <v>1076</v>
      </c>
      <c r="B364" t="s">
        <v>5084</v>
      </c>
      <c r="C364" s="98">
        <f>VLOOKUP(A364,References!$C:$D,2,0)</f>
        <v>246.84491978609626</v>
      </c>
    </row>
    <row r="365" spans="1:3">
      <c r="A365" t="s">
        <v>1080</v>
      </c>
      <c r="B365" t="s">
        <v>1080</v>
      </c>
      <c r="C365" s="98">
        <f>VLOOKUP(A365,References!$C:$D,2,0)</f>
        <v>246.84491978609626</v>
      </c>
    </row>
    <row r="366" spans="1:3">
      <c r="A366" t="s">
        <v>1083</v>
      </c>
      <c r="B366" t="s">
        <v>1083</v>
      </c>
      <c r="C366" s="98">
        <f>VLOOKUP(A366,References!$C:$D,2,0)</f>
        <v>131.73076923076923</v>
      </c>
    </row>
    <row r="367" spans="1:3">
      <c r="A367" t="s">
        <v>982</v>
      </c>
      <c r="B367" t="s">
        <v>5085</v>
      </c>
      <c r="C367" s="98">
        <f>VLOOKUP(A367,References!$C:$D,2,0)</f>
        <v>246.84491978609626</v>
      </c>
    </row>
    <row r="368" spans="1:3">
      <c r="A368" t="s">
        <v>982</v>
      </c>
      <c r="B368" t="s">
        <v>5086</v>
      </c>
      <c r="C368" s="98">
        <f>VLOOKUP(A368,References!$C:$D,2,0)</f>
        <v>246.84491978609626</v>
      </c>
    </row>
    <row r="369" spans="1:3">
      <c r="A369" t="s">
        <v>1086</v>
      </c>
      <c r="B369" t="s">
        <v>1086</v>
      </c>
      <c r="C369" s="98">
        <f>VLOOKUP(A369,References!$C:$D,2,0)</f>
        <v>246.84491978609626</v>
      </c>
    </row>
    <row r="370" spans="1:3">
      <c r="A370" t="s">
        <v>1005</v>
      </c>
      <c r="B370" t="s">
        <v>5087</v>
      </c>
      <c r="C370" s="98">
        <f>VLOOKUP(A370,References!$C:$D,2,0)</f>
        <v>131.73076923076923</v>
      </c>
    </row>
    <row r="371" spans="1:3">
      <c r="A371" t="s">
        <v>1090</v>
      </c>
      <c r="B371" t="s">
        <v>1090</v>
      </c>
      <c r="C371" s="98">
        <f>VLOOKUP(A371,References!$C:$D,2,0)</f>
        <v>209.81818181818181</v>
      </c>
    </row>
    <row r="372" spans="1:3">
      <c r="A372" t="s">
        <v>1093</v>
      </c>
      <c r="B372" t="s">
        <v>5088</v>
      </c>
      <c r="C372" s="98">
        <f>VLOOKUP(A372,References!$C:$D,2,0)</f>
        <v>246.84491978609626</v>
      </c>
    </row>
    <row r="373" spans="1:3">
      <c r="A373" t="s">
        <v>982</v>
      </c>
      <c r="B373" t="s">
        <v>982</v>
      </c>
      <c r="C373" s="98">
        <f>VLOOKUP(A373,References!$C:$D,2,0)</f>
        <v>246.84491978609626</v>
      </c>
    </row>
    <row r="374" spans="1:3">
      <c r="A374" t="s">
        <v>1098</v>
      </c>
      <c r="B374" t="s">
        <v>1098</v>
      </c>
      <c r="C374" s="98">
        <f>VLOOKUP(A374,References!$C:$D,2,0)</f>
        <v>209.81818181818181</v>
      </c>
    </row>
    <row r="375" spans="1:3">
      <c r="A375" t="s">
        <v>1101</v>
      </c>
      <c r="B375" t="s">
        <v>1101</v>
      </c>
      <c r="C375" s="98">
        <f>VLOOKUP(A375,References!$C:$D,2,0)</f>
        <v>209.81818181818181</v>
      </c>
    </row>
    <row r="376" spans="1:3">
      <c r="A376" t="s">
        <v>1105</v>
      </c>
      <c r="B376" t="s">
        <v>1105</v>
      </c>
      <c r="C376" s="98">
        <f>VLOOKUP(A376,References!$C:$D,2,0)</f>
        <v>209.81818181818181</v>
      </c>
    </row>
    <row r="377" spans="1:3">
      <c r="A377" t="s">
        <v>1109</v>
      </c>
      <c r="B377" t="s">
        <v>1109</v>
      </c>
      <c r="C377" s="98">
        <f>VLOOKUP(A377,References!$C:$D,2,0)</f>
        <v>131.73076923076923</v>
      </c>
    </row>
    <row r="378" spans="1:3">
      <c r="A378" t="s">
        <v>1112</v>
      </c>
      <c r="B378" t="s">
        <v>1112</v>
      </c>
      <c r="C378" s="98">
        <f>VLOOKUP(A378,References!$C:$D,2,0)</f>
        <v>246.84491978609626</v>
      </c>
    </row>
    <row r="379" spans="1:3">
      <c r="A379" t="s">
        <v>1115</v>
      </c>
      <c r="B379" t="s">
        <v>1115</v>
      </c>
      <c r="C379" s="98">
        <f>VLOOKUP(A379,References!$C:$D,2,0)</f>
        <v>209.81818181818181</v>
      </c>
    </row>
    <row r="380" spans="1:3">
      <c r="A380" t="s">
        <v>1118</v>
      </c>
      <c r="B380" t="s">
        <v>1118</v>
      </c>
      <c r="C380" s="98">
        <f>VLOOKUP(A380,References!$C:$D,2,0)</f>
        <v>135.75539568345323</v>
      </c>
    </row>
    <row r="381" spans="1:3">
      <c r="A381" t="s">
        <v>943</v>
      </c>
      <c r="B381" t="s">
        <v>943</v>
      </c>
      <c r="C381" s="98">
        <f>VLOOKUP(A381,References!$C:$D,2,0)</f>
        <v>246.84491978609626</v>
      </c>
    </row>
    <row r="382" spans="1:3">
      <c r="A382" t="s">
        <v>1124</v>
      </c>
      <c r="B382" t="s">
        <v>1124</v>
      </c>
      <c r="C382" s="98">
        <f>VLOOKUP(A382,References!$C:$D,2,0)</f>
        <v>159.30232558139537</v>
      </c>
    </row>
    <row r="383" spans="1:3">
      <c r="A383" t="s">
        <v>1093</v>
      </c>
      <c r="B383" t="s">
        <v>5089</v>
      </c>
      <c r="C383" s="98">
        <f>VLOOKUP(A383,References!$C:$D,2,0)</f>
        <v>246.84491978609626</v>
      </c>
    </row>
    <row r="384" spans="1:3">
      <c r="A384" t="s">
        <v>1127</v>
      </c>
      <c r="B384" t="s">
        <v>1127</v>
      </c>
      <c r="C384" s="98">
        <f>VLOOKUP(A384,References!$C:$D,2,0)</f>
        <v>209.81818181818181</v>
      </c>
    </row>
    <row r="385" spans="1:3">
      <c r="A385" t="s">
        <v>1076</v>
      </c>
      <c r="B385" t="s">
        <v>5090</v>
      </c>
      <c r="C385" s="98">
        <f>VLOOKUP(A385,References!$C:$D,2,0)</f>
        <v>246.84491978609626</v>
      </c>
    </row>
    <row r="386" spans="1:3">
      <c r="A386" t="s">
        <v>1131</v>
      </c>
      <c r="B386" t="s">
        <v>1131</v>
      </c>
      <c r="C386" s="98">
        <f>VLOOKUP(A386,References!$C:$D,2,0)</f>
        <v>135.75539568345323</v>
      </c>
    </row>
    <row r="387" spans="1:3">
      <c r="A387" t="s">
        <v>1134</v>
      </c>
      <c r="B387" t="s">
        <v>1134</v>
      </c>
      <c r="C387" s="98">
        <f>VLOOKUP(A387,References!$C:$D,2,0)</f>
        <v>246.84491978609626</v>
      </c>
    </row>
    <row r="388" spans="1:3">
      <c r="A388" t="s">
        <v>1076</v>
      </c>
      <c r="B388" t="s">
        <v>5091</v>
      </c>
      <c r="C388" s="98">
        <f>VLOOKUP(A388,References!$C:$D,2,0)</f>
        <v>246.84491978609626</v>
      </c>
    </row>
    <row r="389" spans="1:3">
      <c r="A389" t="s">
        <v>1076</v>
      </c>
      <c r="B389" t="s">
        <v>5092</v>
      </c>
      <c r="C389" s="98">
        <f>VLOOKUP(A389,References!$C:$D,2,0)</f>
        <v>246.84491978609626</v>
      </c>
    </row>
    <row r="390" spans="1:3">
      <c r="A390" t="s">
        <v>1138</v>
      </c>
      <c r="B390" t="s">
        <v>1138</v>
      </c>
      <c r="C390" s="98">
        <f>VLOOKUP(A390,References!$C:$D,2,0)</f>
        <v>159.30232558139537</v>
      </c>
    </row>
    <row r="391" spans="1:3">
      <c r="A391" t="s">
        <v>1141</v>
      </c>
      <c r="B391" t="s">
        <v>1141</v>
      </c>
      <c r="C391" s="98">
        <f>VLOOKUP(A391,References!$C:$D,2,0)</f>
        <v>246.84491978609626</v>
      </c>
    </row>
    <row r="392" spans="1:3">
      <c r="A392" t="s">
        <v>1144</v>
      </c>
      <c r="B392" t="s">
        <v>1144</v>
      </c>
      <c r="C392" s="98">
        <f>VLOOKUP(A392,References!$C:$D,2,0)</f>
        <v>246.84491978609626</v>
      </c>
    </row>
    <row r="393" spans="1:3">
      <c r="A393" t="s">
        <v>1147</v>
      </c>
      <c r="B393" t="s">
        <v>1147</v>
      </c>
      <c r="C393" s="98">
        <f>VLOOKUP(A393,References!$C:$D,2,0)</f>
        <v>209.81818181818181</v>
      </c>
    </row>
    <row r="394" spans="1:3">
      <c r="A394" t="s">
        <v>1149</v>
      </c>
      <c r="B394" t="s">
        <v>5093</v>
      </c>
      <c r="C394" s="98">
        <f>VLOOKUP(A394,References!$C:$D,2,0)</f>
        <v>131.73076923076923</v>
      </c>
    </row>
    <row r="395" spans="1:3">
      <c r="A395" t="s">
        <v>1151</v>
      </c>
      <c r="B395" t="s">
        <v>1151</v>
      </c>
      <c r="C395" s="98">
        <f>VLOOKUP(A395,References!$C:$D,2,0)</f>
        <v>159.30232558139537</v>
      </c>
    </row>
    <row r="396" spans="1:3">
      <c r="A396" t="s">
        <v>1035</v>
      </c>
      <c r="B396" t="s">
        <v>5094</v>
      </c>
      <c r="C396" s="98">
        <f>VLOOKUP(A396,References!$C:$D,2,0)</f>
        <v>246.84491978609626</v>
      </c>
    </row>
    <row r="397" spans="1:3">
      <c r="A397" t="s">
        <v>1154</v>
      </c>
      <c r="B397" t="s">
        <v>1154</v>
      </c>
      <c r="C397" s="98">
        <f>VLOOKUP(A397,References!$C:$D,2,0)</f>
        <v>209.81818181818181</v>
      </c>
    </row>
    <row r="398" spans="1:3">
      <c r="A398" t="s">
        <v>1159</v>
      </c>
      <c r="B398" t="s">
        <v>1159</v>
      </c>
      <c r="C398" s="98">
        <f>VLOOKUP(A398,References!$C:$D,2,0)</f>
        <v>209.81818181818181</v>
      </c>
    </row>
    <row r="399" spans="1:3">
      <c r="A399" t="s">
        <v>1046</v>
      </c>
      <c r="B399" t="s">
        <v>5095</v>
      </c>
      <c r="C399" s="98">
        <f>VLOOKUP(A399,References!$C:$D,2,0)</f>
        <v>246.84491978609626</v>
      </c>
    </row>
    <row r="400" spans="1:3">
      <c r="A400" t="s">
        <v>1157</v>
      </c>
      <c r="B400" t="s">
        <v>5096</v>
      </c>
      <c r="C400" s="98">
        <f>VLOOKUP(A400,References!$C:$D,2,0)</f>
        <v>131.73076923076923</v>
      </c>
    </row>
    <row r="401" spans="1:3">
      <c r="A401" t="s">
        <v>1163</v>
      </c>
      <c r="B401" t="s">
        <v>1163</v>
      </c>
      <c r="C401" s="98">
        <f>VLOOKUP(A401,References!$C:$D,2,0)</f>
        <v>135.75539568345323</v>
      </c>
    </row>
    <row r="402" spans="1:3">
      <c r="A402" t="s">
        <v>1167</v>
      </c>
      <c r="B402" t="s">
        <v>1167</v>
      </c>
      <c r="C402" s="98">
        <f>VLOOKUP(A402,References!$C:$D,2,0)</f>
        <v>246.84491978609626</v>
      </c>
    </row>
    <row r="403" spans="1:3">
      <c r="A403" t="s">
        <v>1171</v>
      </c>
      <c r="B403" t="s">
        <v>1171</v>
      </c>
      <c r="C403" s="98">
        <f>VLOOKUP(A403,References!$C:$D,2,0)</f>
        <v>246.84491978609626</v>
      </c>
    </row>
    <row r="404" spans="1:3">
      <c r="A404" t="s">
        <v>1174</v>
      </c>
      <c r="B404" t="s">
        <v>1174</v>
      </c>
      <c r="C404" s="98">
        <f>VLOOKUP(A404,References!$C:$D,2,0)</f>
        <v>246.84491978609626</v>
      </c>
    </row>
    <row r="405" spans="1:3">
      <c r="A405" t="s">
        <v>1178</v>
      </c>
      <c r="B405" t="s">
        <v>1178</v>
      </c>
      <c r="C405" s="98">
        <f>VLOOKUP(A405,References!$C:$D,2,0)</f>
        <v>159.30232558139537</v>
      </c>
    </row>
    <row r="406" spans="1:3">
      <c r="A406" t="s">
        <v>1181</v>
      </c>
      <c r="B406" t="s">
        <v>1181</v>
      </c>
      <c r="C406" s="98">
        <f>VLOOKUP(A406,References!$C:$D,2,0)</f>
        <v>246.84491978609626</v>
      </c>
    </row>
    <row r="407" spans="1:3">
      <c r="A407" t="s">
        <v>1183</v>
      </c>
      <c r="B407" t="s">
        <v>1183</v>
      </c>
      <c r="C407" s="98">
        <f>VLOOKUP(A407,References!$C:$D,2,0)</f>
        <v>209.81818181818181</v>
      </c>
    </row>
    <row r="408" spans="1:3">
      <c r="A408" t="s">
        <v>1186</v>
      </c>
      <c r="B408" t="s">
        <v>1186</v>
      </c>
      <c r="C408" s="98">
        <f>VLOOKUP(A408,References!$C:$D,2,0)</f>
        <v>131.73076923076923</v>
      </c>
    </row>
    <row r="409" spans="1:3">
      <c r="A409" t="s">
        <v>1189</v>
      </c>
      <c r="B409" t="s">
        <v>1189</v>
      </c>
      <c r="C409" s="98">
        <f>VLOOKUP(A409,References!$C:$D,2,0)</f>
        <v>131.73076923076923</v>
      </c>
    </row>
    <row r="410" spans="1:3">
      <c r="A410" t="s">
        <v>1193</v>
      </c>
      <c r="B410" t="s">
        <v>1193</v>
      </c>
      <c r="C410" s="98">
        <f>VLOOKUP(A410,References!$C:$D,2,0)</f>
        <v>131.73076923076923</v>
      </c>
    </row>
    <row r="411" spans="1:3">
      <c r="A411" t="s">
        <v>1197</v>
      </c>
      <c r="B411" t="s">
        <v>1197</v>
      </c>
      <c r="C411" s="98">
        <f>VLOOKUP(A411,References!$C:$D,2,0)</f>
        <v>131.73076923076923</v>
      </c>
    </row>
    <row r="412" spans="1:3">
      <c r="A412" t="s">
        <v>1201</v>
      </c>
      <c r="B412" t="s">
        <v>1201</v>
      </c>
      <c r="C412" s="98">
        <f>VLOOKUP(A412,References!$C:$D,2,0)</f>
        <v>246.84491978609626</v>
      </c>
    </row>
    <row r="413" spans="1:3">
      <c r="A413" t="s">
        <v>1204</v>
      </c>
      <c r="B413" t="s">
        <v>1204</v>
      </c>
      <c r="C413" s="98">
        <f>VLOOKUP(A413,References!$C:$D,2,0)</f>
        <v>131.73076923076923</v>
      </c>
    </row>
    <row r="414" spans="1:3">
      <c r="A414" t="s">
        <v>1208</v>
      </c>
      <c r="B414" t="s">
        <v>1208</v>
      </c>
      <c r="C414" s="98">
        <f>VLOOKUP(A414,References!$C:$D,2,0)</f>
        <v>131.73076923076923</v>
      </c>
    </row>
    <row r="415" spans="1:3">
      <c r="A415" t="s">
        <v>1212</v>
      </c>
      <c r="B415" t="s">
        <v>1212</v>
      </c>
      <c r="C415" s="98">
        <f>VLOOKUP(A415,References!$C:$D,2,0)</f>
        <v>131.73076923076923</v>
      </c>
    </row>
    <row r="416" spans="1:3">
      <c r="A416" t="s">
        <v>1215</v>
      </c>
      <c r="B416" t="s">
        <v>1215</v>
      </c>
      <c r="C416" s="98">
        <f>VLOOKUP(A416,References!$C:$D,2,0)</f>
        <v>135.75539568345323</v>
      </c>
    </row>
    <row r="417" spans="1:3">
      <c r="A417" t="s">
        <v>1218</v>
      </c>
      <c r="B417" t="s">
        <v>1218</v>
      </c>
      <c r="C417" s="98">
        <f>VLOOKUP(A417,References!$C:$D,2,0)</f>
        <v>131.73076923076923</v>
      </c>
    </row>
    <row r="418" spans="1:3">
      <c r="A418" t="s">
        <v>1222</v>
      </c>
      <c r="B418" t="s">
        <v>1222</v>
      </c>
      <c r="C418" s="98">
        <f>VLOOKUP(A418,References!$C:$D,2,0)</f>
        <v>131.73076923076923</v>
      </c>
    </row>
    <row r="419" spans="1:3">
      <c r="A419" t="s">
        <v>1226</v>
      </c>
      <c r="B419" t="s">
        <v>1226</v>
      </c>
      <c r="C419" s="98">
        <f>VLOOKUP(A419,References!$C:$D,2,0)</f>
        <v>131.73076923076923</v>
      </c>
    </row>
    <row r="420" spans="1:3">
      <c r="A420" t="s">
        <v>1230</v>
      </c>
      <c r="B420" t="s">
        <v>1230</v>
      </c>
      <c r="C420" s="98">
        <f>VLOOKUP(A420,References!$C:$D,2,0)</f>
        <v>131.73076923076923</v>
      </c>
    </row>
    <row r="421" spans="1:3">
      <c r="A421" t="s">
        <v>1234</v>
      </c>
      <c r="B421" t="s">
        <v>1234</v>
      </c>
      <c r="C421" s="98">
        <f>VLOOKUP(A421,References!$C:$D,2,0)</f>
        <v>131.73076923076923</v>
      </c>
    </row>
    <row r="422" spans="1:3">
      <c r="A422" t="s">
        <v>1238</v>
      </c>
      <c r="B422" t="s">
        <v>5097</v>
      </c>
      <c r="C422" s="98">
        <f>VLOOKUP(A422,References!$C:$D,2,0)</f>
        <v>209.81818181818181</v>
      </c>
    </row>
    <row r="423" spans="1:3">
      <c r="A423" t="s">
        <v>1240</v>
      </c>
      <c r="B423" t="s">
        <v>1240</v>
      </c>
      <c r="C423" s="98">
        <f>VLOOKUP(A423,References!$C:$D,2,0)</f>
        <v>209.81818181818181</v>
      </c>
    </row>
    <row r="424" spans="1:3">
      <c r="A424" t="s">
        <v>1244</v>
      </c>
      <c r="B424" t="s">
        <v>1244</v>
      </c>
      <c r="C424" s="98">
        <f>VLOOKUP(A424,References!$C:$D,2,0)</f>
        <v>209.81818181818181</v>
      </c>
    </row>
    <row r="425" spans="1:3">
      <c r="A425" t="s">
        <v>1248</v>
      </c>
      <c r="B425" t="s">
        <v>1248</v>
      </c>
      <c r="C425" s="98">
        <f>VLOOKUP(A425,References!$C:$D,2,0)</f>
        <v>209.81818181818181</v>
      </c>
    </row>
    <row r="426" spans="1:3">
      <c r="A426" t="s">
        <v>1252</v>
      </c>
      <c r="B426" t="s">
        <v>1252</v>
      </c>
      <c r="C426" s="98">
        <f>VLOOKUP(A426,References!$C:$D,2,0)</f>
        <v>209.81818181818181</v>
      </c>
    </row>
    <row r="427" spans="1:3">
      <c r="A427" t="s">
        <v>1255</v>
      </c>
      <c r="B427" t="s">
        <v>1255</v>
      </c>
      <c r="C427" s="98">
        <f>VLOOKUP(A427,References!$C:$D,2,0)</f>
        <v>209.81818181818181</v>
      </c>
    </row>
    <row r="428" spans="1:3">
      <c r="A428" t="s">
        <v>1258</v>
      </c>
      <c r="B428" t="s">
        <v>1258</v>
      </c>
      <c r="C428" s="98">
        <f>VLOOKUP(A428,References!$C:$D,2,0)</f>
        <v>246.84491978609626</v>
      </c>
    </row>
    <row r="429" spans="1:3">
      <c r="A429" t="s">
        <v>1261</v>
      </c>
      <c r="B429" t="s">
        <v>1261</v>
      </c>
      <c r="C429" s="98">
        <f>VLOOKUP(A429,References!$C:$D,2,0)</f>
        <v>209.81818181818181</v>
      </c>
    </row>
    <row r="430" spans="1:3">
      <c r="A430" t="s">
        <v>1264</v>
      </c>
      <c r="B430" t="s">
        <v>1264</v>
      </c>
      <c r="C430" s="98">
        <f>VLOOKUP(A430,References!$C:$D,2,0)</f>
        <v>209.81818181818181</v>
      </c>
    </row>
    <row r="431" spans="1:3">
      <c r="A431" t="s">
        <v>1267</v>
      </c>
      <c r="B431" t="s">
        <v>1267</v>
      </c>
      <c r="C431" s="98">
        <f>VLOOKUP(A431,References!$C:$D,2,0)</f>
        <v>209.81818181818181</v>
      </c>
    </row>
    <row r="432" spans="1:3">
      <c r="A432" t="s">
        <v>1270</v>
      </c>
      <c r="B432" t="s">
        <v>1270</v>
      </c>
      <c r="C432" s="98">
        <f>VLOOKUP(A432,References!$C:$D,2,0)</f>
        <v>209.81818181818181</v>
      </c>
    </row>
    <row r="433" spans="1:3">
      <c r="A433" t="s">
        <v>1273</v>
      </c>
      <c r="B433" t="s">
        <v>1273</v>
      </c>
      <c r="C433" s="98">
        <f>VLOOKUP(A433,References!$C:$D,2,0)</f>
        <v>209.81818181818181</v>
      </c>
    </row>
    <row r="434" spans="1:3">
      <c r="A434" t="s">
        <v>1277</v>
      </c>
      <c r="B434" t="s">
        <v>1277</v>
      </c>
      <c r="C434" s="98">
        <f>VLOOKUP(A434,References!$C:$D,2,0)</f>
        <v>131.73076923076923</v>
      </c>
    </row>
    <row r="435" spans="1:3">
      <c r="A435" t="s">
        <v>1281</v>
      </c>
      <c r="B435" t="s">
        <v>1281</v>
      </c>
      <c r="C435" s="98">
        <f>VLOOKUP(A435,References!$C:$D,2,0)</f>
        <v>131.73076923076923</v>
      </c>
    </row>
    <row r="436" spans="1:3">
      <c r="A436" t="s">
        <v>1285</v>
      </c>
      <c r="B436" t="s">
        <v>1285</v>
      </c>
      <c r="C436" s="98">
        <f>VLOOKUP(A436,References!$C:$D,2,0)</f>
        <v>131.73076923076923</v>
      </c>
    </row>
    <row r="437" spans="1:3">
      <c r="A437" t="s">
        <v>1289</v>
      </c>
      <c r="B437" t="s">
        <v>1289</v>
      </c>
      <c r="C437" s="98">
        <f>VLOOKUP(A437,References!$C:$D,2,0)</f>
        <v>131.73076923076923</v>
      </c>
    </row>
    <row r="438" spans="1:3">
      <c r="A438" t="s">
        <v>1293</v>
      </c>
      <c r="B438" t="s">
        <v>1293</v>
      </c>
      <c r="C438" s="98">
        <f>VLOOKUP(A438,References!$C:$D,2,0)</f>
        <v>131.73076923076923</v>
      </c>
    </row>
    <row r="439" spans="1:3">
      <c r="A439" t="s">
        <v>1297</v>
      </c>
      <c r="B439" t="s">
        <v>1297</v>
      </c>
      <c r="C439" s="98">
        <f>VLOOKUP(A439,References!$C:$D,2,0)</f>
        <v>131.73076923076923</v>
      </c>
    </row>
    <row r="440" spans="1:3">
      <c r="A440" t="s">
        <v>949</v>
      </c>
      <c r="B440" t="s">
        <v>5098</v>
      </c>
      <c r="C440" s="98">
        <f>VLOOKUP(A440,References!$C:$D,2,0)</f>
        <v>131.73076923076923</v>
      </c>
    </row>
    <row r="441" spans="1:3">
      <c r="A441" t="s">
        <v>1301</v>
      </c>
      <c r="B441" t="s">
        <v>1301</v>
      </c>
      <c r="C441" s="98">
        <f>VLOOKUP(A441,References!$C:$D,2,0)</f>
        <v>131.73076923076923</v>
      </c>
    </row>
    <row r="442" spans="1:3">
      <c r="A442" t="s">
        <v>1305</v>
      </c>
      <c r="B442" t="s">
        <v>1305</v>
      </c>
      <c r="C442" s="98">
        <f>VLOOKUP(A442,References!$C:$D,2,0)</f>
        <v>209.81818181818181</v>
      </c>
    </row>
    <row r="443" spans="1:3">
      <c r="A443" t="s">
        <v>1308</v>
      </c>
      <c r="B443" t="s">
        <v>1308</v>
      </c>
      <c r="C443" s="98">
        <f>VLOOKUP(A443,References!$C:$D,2,0)</f>
        <v>131.73076923076923</v>
      </c>
    </row>
    <row r="444" spans="1:3">
      <c r="A444" t="s">
        <v>1312</v>
      </c>
      <c r="B444" t="s">
        <v>1312</v>
      </c>
      <c r="C444" s="98">
        <f>VLOOKUP(A444,References!$C:$D,2,0)</f>
        <v>131.73076923076923</v>
      </c>
    </row>
    <row r="445" spans="1:3">
      <c r="A445" t="s">
        <v>1157</v>
      </c>
      <c r="B445" t="s">
        <v>1157</v>
      </c>
      <c r="C445" s="98">
        <f>VLOOKUP(A445,References!$C:$D,2,0)</f>
        <v>131.73076923076923</v>
      </c>
    </row>
    <row r="446" spans="1:3">
      <c r="A446" t="s">
        <v>1319</v>
      </c>
      <c r="B446" t="s">
        <v>5099</v>
      </c>
      <c r="C446" s="98">
        <f>VLOOKUP(A446,References!$C:$D,2,0)</f>
        <v>209.81818181818181</v>
      </c>
    </row>
    <row r="447" spans="1:3">
      <c r="A447" t="s">
        <v>1321</v>
      </c>
      <c r="B447" t="s">
        <v>1321</v>
      </c>
      <c r="C447" s="98">
        <f>VLOOKUP(A447,References!$C:$D,2,0)</f>
        <v>131.73076923076923</v>
      </c>
    </row>
    <row r="448" spans="1:3">
      <c r="A448" t="s">
        <v>1325</v>
      </c>
      <c r="B448" t="s">
        <v>1325</v>
      </c>
      <c r="C448" s="98">
        <f>VLOOKUP(A448,References!$C:$D,2,0)</f>
        <v>131.73076923076923</v>
      </c>
    </row>
    <row r="449" spans="1:3">
      <c r="A449" t="s">
        <v>1328</v>
      </c>
      <c r="B449" t="s">
        <v>1328</v>
      </c>
      <c r="C449" s="98">
        <f>VLOOKUP(A449,References!$C:$D,2,0)</f>
        <v>131.73076923076923</v>
      </c>
    </row>
    <row r="450" spans="1:3">
      <c r="A450" t="s">
        <v>1332</v>
      </c>
      <c r="B450" t="s">
        <v>1332</v>
      </c>
      <c r="C450" s="98">
        <f>VLOOKUP(A450,References!$C:$D,2,0)</f>
        <v>246.84491978609626</v>
      </c>
    </row>
    <row r="451" spans="1:3">
      <c r="A451" t="s">
        <v>1335</v>
      </c>
      <c r="B451" t="s">
        <v>5100</v>
      </c>
      <c r="C451" s="98">
        <f>VLOOKUP(A451,References!$C:$D,2,0)</f>
        <v>246.84491978609626</v>
      </c>
    </row>
    <row r="452" spans="1:3">
      <c r="A452" t="s">
        <v>1339</v>
      </c>
      <c r="B452" t="s">
        <v>1339</v>
      </c>
      <c r="C452" s="98">
        <f>VLOOKUP(A452,References!$C:$D,2,0)</f>
        <v>246.84491978609626</v>
      </c>
    </row>
    <row r="453" spans="1:3">
      <c r="A453" t="s">
        <v>1093</v>
      </c>
      <c r="B453" t="s">
        <v>1093</v>
      </c>
      <c r="C453" s="98">
        <f>VLOOKUP(A453,References!$C:$D,2,0)</f>
        <v>246.84491978609626</v>
      </c>
    </row>
    <row r="454" spans="1:3">
      <c r="A454" t="s">
        <v>1342</v>
      </c>
      <c r="B454" t="s">
        <v>1342</v>
      </c>
      <c r="C454" s="98">
        <f>VLOOKUP(A454,References!$C:$D,2,0)</f>
        <v>246.84491978609626</v>
      </c>
    </row>
    <row r="455" spans="1:3">
      <c r="A455" t="s">
        <v>1134</v>
      </c>
      <c r="B455" t="s">
        <v>5101</v>
      </c>
      <c r="C455" s="98">
        <f>VLOOKUP(A455,References!$C:$D,2,0)</f>
        <v>246.84491978609626</v>
      </c>
    </row>
    <row r="456" spans="1:3">
      <c r="A456" t="s">
        <v>1346</v>
      </c>
      <c r="B456" t="s">
        <v>1346</v>
      </c>
      <c r="C456" s="98">
        <f>VLOOKUP(A456,References!$C:$D,2,0)</f>
        <v>246.84491978609626</v>
      </c>
    </row>
    <row r="457" spans="1:3">
      <c r="A457" t="s">
        <v>1349</v>
      </c>
      <c r="B457" t="s">
        <v>1349</v>
      </c>
      <c r="C457" s="98">
        <f>VLOOKUP(A457,References!$C:$D,2,0)</f>
        <v>246.84491978609626</v>
      </c>
    </row>
    <row r="458" spans="1:3">
      <c r="A458" t="s">
        <v>1353</v>
      </c>
      <c r="B458" t="s">
        <v>1353</v>
      </c>
      <c r="C458" s="98">
        <f>VLOOKUP(A458,References!$C:$D,2,0)</f>
        <v>135.75539568345323</v>
      </c>
    </row>
    <row r="459" spans="1:3">
      <c r="A459" t="s">
        <v>1357</v>
      </c>
      <c r="B459" t="s">
        <v>1357</v>
      </c>
      <c r="C459" s="98">
        <f>VLOOKUP(A459,References!$C:$D,2,0)</f>
        <v>159.30232558139537</v>
      </c>
    </row>
    <row r="460" spans="1:3">
      <c r="A460" t="s">
        <v>1361</v>
      </c>
      <c r="B460" t="s">
        <v>1361</v>
      </c>
      <c r="C460" s="98">
        <f>VLOOKUP(A460,References!$C:$D,2,0)</f>
        <v>246.84491978609626</v>
      </c>
    </row>
    <row r="461" spans="1:3">
      <c r="A461" t="s">
        <v>1364</v>
      </c>
      <c r="B461" t="s">
        <v>1364</v>
      </c>
      <c r="C461" s="98">
        <f>VLOOKUP(A461,References!$C:$D,2,0)</f>
        <v>246.84491978609626</v>
      </c>
    </row>
    <row r="462" spans="1:3">
      <c r="A462" t="s">
        <v>1367</v>
      </c>
      <c r="B462" t="s">
        <v>1367</v>
      </c>
      <c r="C462" s="98">
        <f>VLOOKUP(A462,References!$C:$D,2,0)</f>
        <v>135.75539568345323</v>
      </c>
    </row>
    <row r="463" spans="1:3">
      <c r="A463" t="s">
        <v>1371</v>
      </c>
      <c r="B463" t="s">
        <v>1371</v>
      </c>
      <c r="C463" s="98">
        <f>VLOOKUP(A463,References!$C:$D,2,0)</f>
        <v>131.73076923076923</v>
      </c>
    </row>
    <row r="464" spans="1:3">
      <c r="A464" t="s">
        <v>1375</v>
      </c>
      <c r="B464" t="s">
        <v>1375</v>
      </c>
      <c r="C464" s="98">
        <f>VLOOKUP(A464,References!$C:$D,2,0)</f>
        <v>131.73076923076923</v>
      </c>
    </row>
    <row r="465" spans="1:3">
      <c r="A465" t="s">
        <v>1379</v>
      </c>
      <c r="B465" t="s">
        <v>1379</v>
      </c>
      <c r="C465" s="98">
        <f>VLOOKUP(A465,References!$C:$D,2,0)</f>
        <v>131.73076923076923</v>
      </c>
    </row>
    <row r="466" spans="1:3">
      <c r="A466" t="s">
        <v>982</v>
      </c>
      <c r="B466" t="s">
        <v>5102</v>
      </c>
      <c r="C466" s="98">
        <f>VLOOKUP(A466,References!$C:$D,2,0)</f>
        <v>246.84491978609626</v>
      </c>
    </row>
    <row r="467" spans="1:3">
      <c r="A467" t="s">
        <v>1382</v>
      </c>
      <c r="B467" t="s">
        <v>1382</v>
      </c>
      <c r="C467" s="98">
        <f>VLOOKUP(A467,References!$C:$D,2,0)</f>
        <v>131.73076923076923</v>
      </c>
    </row>
    <row r="468" spans="1:3">
      <c r="A468" t="s">
        <v>1385</v>
      </c>
      <c r="B468" t="s">
        <v>1385</v>
      </c>
      <c r="C468" s="98">
        <f>VLOOKUP(A468,References!$C:$D,2,0)</f>
        <v>209.81818181818181</v>
      </c>
    </row>
    <row r="469" spans="1:3">
      <c r="A469" t="s">
        <v>1392</v>
      </c>
      <c r="B469" t="s">
        <v>1392</v>
      </c>
      <c r="C469" s="98">
        <f>VLOOKUP(A469,References!$C:$D,2,0)</f>
        <v>246.84491978609626</v>
      </c>
    </row>
    <row r="470" spans="1:3">
      <c r="A470" t="s">
        <v>1388</v>
      </c>
      <c r="B470" t="s">
        <v>1388</v>
      </c>
      <c r="C470" s="98">
        <f>VLOOKUP(A470,References!$C:$D,2,0)</f>
        <v>246.84491978609626</v>
      </c>
    </row>
    <row r="471" spans="1:3">
      <c r="A471" t="s">
        <v>1395</v>
      </c>
      <c r="B471" t="s">
        <v>1395</v>
      </c>
      <c r="C471" s="98">
        <f>VLOOKUP(A471,References!$C:$D,2,0)</f>
        <v>246.84491978609626</v>
      </c>
    </row>
    <row r="472" spans="1:3">
      <c r="A472" t="s">
        <v>1335</v>
      </c>
      <c r="B472" t="s">
        <v>1335</v>
      </c>
      <c r="C472" s="98">
        <f>VLOOKUP(A472,References!$C:$D,2,0)</f>
        <v>246.84491978609626</v>
      </c>
    </row>
    <row r="473" spans="1:3">
      <c r="A473" t="s">
        <v>1005</v>
      </c>
      <c r="B473" t="s">
        <v>5103</v>
      </c>
      <c r="C473" s="98">
        <f>VLOOKUP(A473,References!$C:$D,2,0)</f>
        <v>131.73076923076923</v>
      </c>
    </row>
    <row r="474" spans="1:3">
      <c r="A474" t="s">
        <v>1400</v>
      </c>
      <c r="B474" t="s">
        <v>1400</v>
      </c>
      <c r="C474" s="98">
        <f>VLOOKUP(A474,References!$C:$D,2,0)</f>
        <v>246.84491978609626</v>
      </c>
    </row>
    <row r="475" spans="1:3">
      <c r="A475" t="s">
        <v>1403</v>
      </c>
      <c r="B475" t="s">
        <v>1403</v>
      </c>
      <c r="C475" s="98">
        <f>VLOOKUP(A475,References!$C:$D,2,0)</f>
        <v>131.73076923076923</v>
      </c>
    </row>
    <row r="476" spans="1:3">
      <c r="A476" t="s">
        <v>1406</v>
      </c>
      <c r="B476" t="s">
        <v>1406</v>
      </c>
      <c r="C476" s="98">
        <f>VLOOKUP(A476,References!$C:$D,2,0)</f>
        <v>131.73076923076923</v>
      </c>
    </row>
    <row r="477" spans="1:3">
      <c r="A477" t="s">
        <v>1410</v>
      </c>
      <c r="B477" t="s">
        <v>1410</v>
      </c>
      <c r="C477" s="98">
        <f>VLOOKUP(A477,References!$C:$D,2,0)</f>
        <v>131.73076923076923</v>
      </c>
    </row>
    <row r="478" spans="1:3">
      <c r="A478" t="s">
        <v>1413</v>
      </c>
      <c r="B478" t="s">
        <v>1413</v>
      </c>
      <c r="C478" s="98">
        <f>VLOOKUP(A478,References!$C:$D,2,0)</f>
        <v>131.73076923076923</v>
      </c>
    </row>
    <row r="479" spans="1:3">
      <c r="A479" t="s">
        <v>1416</v>
      </c>
      <c r="B479" t="s">
        <v>1416</v>
      </c>
      <c r="C479" s="98">
        <f>VLOOKUP(A479,References!$C:$D,2,0)</f>
        <v>131.73076923076923</v>
      </c>
    </row>
    <row r="480" spans="1:3">
      <c r="A480" t="s">
        <v>1420</v>
      </c>
      <c r="B480" t="s">
        <v>1420</v>
      </c>
      <c r="C480" s="98">
        <f>VLOOKUP(A480,References!$C:$D,2,0)</f>
        <v>131.73076923076923</v>
      </c>
    </row>
    <row r="481" spans="1:3">
      <c r="A481" t="s">
        <v>1424</v>
      </c>
      <c r="B481" t="s">
        <v>1424</v>
      </c>
      <c r="C481" s="98">
        <f>VLOOKUP(A481,References!$C:$D,2,0)</f>
        <v>131.73076923076923</v>
      </c>
    </row>
    <row r="482" spans="1:3">
      <c r="A482" t="s">
        <v>1428</v>
      </c>
      <c r="B482" t="s">
        <v>1428</v>
      </c>
      <c r="C482" s="98">
        <f>VLOOKUP(A482,References!$C:$D,2,0)</f>
        <v>131.73076923076923</v>
      </c>
    </row>
    <row r="483" spans="1:3">
      <c r="A483" t="s">
        <v>1431</v>
      </c>
      <c r="B483" t="s">
        <v>1431</v>
      </c>
      <c r="C483" s="98">
        <f>VLOOKUP(A483,References!$C:$D,2,0)</f>
        <v>159.30232558139537</v>
      </c>
    </row>
    <row r="484" spans="1:3">
      <c r="A484" t="s">
        <v>1435</v>
      </c>
      <c r="B484" t="s">
        <v>1435</v>
      </c>
      <c r="C484" s="98">
        <f>VLOOKUP(A484,References!$C:$D,2,0)</f>
        <v>159.30232558139537</v>
      </c>
    </row>
    <row r="485" spans="1:3">
      <c r="A485" t="s">
        <v>1439</v>
      </c>
      <c r="B485" t="s">
        <v>1439</v>
      </c>
      <c r="C485" s="98">
        <f>VLOOKUP(A485,References!$C:$D,2,0)</f>
        <v>159.30232558139537</v>
      </c>
    </row>
    <row r="486" spans="1:3">
      <c r="A486" t="s">
        <v>1443</v>
      </c>
      <c r="B486" t="s">
        <v>1443</v>
      </c>
      <c r="C486" s="98">
        <f>VLOOKUP(A486,References!$C:$D,2,0)</f>
        <v>159.30232558139537</v>
      </c>
    </row>
    <row r="487" spans="1:3">
      <c r="A487" t="s">
        <v>1447</v>
      </c>
      <c r="B487" t="s">
        <v>1447</v>
      </c>
      <c r="C487" s="98">
        <f>VLOOKUP(A487,References!$C:$D,2,0)</f>
        <v>159.30232558139537</v>
      </c>
    </row>
    <row r="488" spans="1:3">
      <c r="A488" t="s">
        <v>1451</v>
      </c>
      <c r="B488" t="s">
        <v>1451</v>
      </c>
      <c r="C488" s="98">
        <f>VLOOKUP(A488,References!$C:$D,2,0)</f>
        <v>159.30232558139537</v>
      </c>
    </row>
    <row r="489" spans="1:3">
      <c r="A489" t="s">
        <v>1455</v>
      </c>
      <c r="B489" t="s">
        <v>5104</v>
      </c>
      <c r="C489" s="98">
        <f>VLOOKUP(A489,References!$C:$D,2,0)</f>
        <v>159.30232558139537</v>
      </c>
    </row>
    <row r="490" spans="1:3">
      <c r="A490" t="s">
        <v>1457</v>
      </c>
      <c r="B490" t="s">
        <v>1457</v>
      </c>
      <c r="C490" s="98">
        <f>VLOOKUP(A490,References!$C:$D,2,0)</f>
        <v>159.30232558139537</v>
      </c>
    </row>
    <row r="491" spans="1:3">
      <c r="A491" t="s">
        <v>1461</v>
      </c>
      <c r="B491" t="s">
        <v>1461</v>
      </c>
      <c r="C491" s="98">
        <f>VLOOKUP(A491,References!$C:$D,2,0)</f>
        <v>131.73076923076923</v>
      </c>
    </row>
    <row r="492" spans="1:3">
      <c r="A492" t="s">
        <v>1464</v>
      </c>
      <c r="B492" t="s">
        <v>1464</v>
      </c>
      <c r="C492" s="98">
        <f>VLOOKUP(A492,References!$C:$D,2,0)</f>
        <v>159.30232558139537</v>
      </c>
    </row>
    <row r="493" spans="1:3">
      <c r="A493" t="s">
        <v>1468</v>
      </c>
      <c r="B493" t="s">
        <v>1468</v>
      </c>
      <c r="C493" s="98">
        <f>VLOOKUP(A493,References!$C:$D,2,0)</f>
        <v>246.84491978609626</v>
      </c>
    </row>
    <row r="494" spans="1:3">
      <c r="A494" t="s">
        <v>1472</v>
      </c>
      <c r="B494" t="s">
        <v>1472</v>
      </c>
      <c r="C494" s="98">
        <f>VLOOKUP(A494,References!$C:$D,2,0)</f>
        <v>159.30232558139537</v>
      </c>
    </row>
    <row r="495" spans="1:3">
      <c r="A495" t="s">
        <v>1476</v>
      </c>
      <c r="B495" t="s">
        <v>1476</v>
      </c>
      <c r="C495" s="98">
        <f>VLOOKUP(A495,References!$C:$D,2,0)</f>
        <v>246.84491978609626</v>
      </c>
    </row>
    <row r="496" spans="1:3">
      <c r="A496" t="s">
        <v>1093</v>
      </c>
      <c r="B496" t="s">
        <v>5105</v>
      </c>
      <c r="C496" s="98">
        <f>VLOOKUP(A496,References!$C:$D,2,0)</f>
        <v>246.84491978609626</v>
      </c>
    </row>
    <row r="497" spans="1:3">
      <c r="A497" t="s">
        <v>1479</v>
      </c>
      <c r="B497" t="s">
        <v>1479</v>
      </c>
      <c r="C497" s="98">
        <f>VLOOKUP(A497,References!$C:$D,2,0)</f>
        <v>159.30232558139537</v>
      </c>
    </row>
    <row r="498" spans="1:3">
      <c r="A498" t="s">
        <v>1483</v>
      </c>
      <c r="B498" t="s">
        <v>1483</v>
      </c>
      <c r="C498" s="98">
        <f>VLOOKUP(A498,References!$C:$D,2,0)</f>
        <v>131.73076923076923</v>
      </c>
    </row>
    <row r="499" spans="1:3">
      <c r="A499" t="s">
        <v>1486</v>
      </c>
      <c r="B499" t="s">
        <v>1486</v>
      </c>
      <c r="C499" s="98">
        <f>VLOOKUP(A499,References!$C:$D,2,0)</f>
        <v>159.30232558139537</v>
      </c>
    </row>
    <row r="500" spans="1:3">
      <c r="A500" t="s">
        <v>1490</v>
      </c>
      <c r="B500" t="s">
        <v>1490</v>
      </c>
      <c r="C500" s="98">
        <f>VLOOKUP(A500,References!$C:$D,2,0)</f>
        <v>246.84491978609626</v>
      </c>
    </row>
    <row r="501" spans="1:3">
      <c r="A501" t="s">
        <v>1493</v>
      </c>
      <c r="B501" t="s">
        <v>1493</v>
      </c>
      <c r="C501" s="98">
        <f>VLOOKUP(A501,References!$C:$D,2,0)</f>
        <v>246.84491978609626</v>
      </c>
    </row>
    <row r="502" spans="1:3">
      <c r="A502" t="s">
        <v>1497</v>
      </c>
      <c r="B502" t="s">
        <v>1497</v>
      </c>
      <c r="C502" s="98">
        <f>VLOOKUP(A502,References!$C:$D,2,0)</f>
        <v>159.30232558139537</v>
      </c>
    </row>
    <row r="503" spans="1:3">
      <c r="A503" t="s">
        <v>1501</v>
      </c>
      <c r="B503" t="s">
        <v>1501</v>
      </c>
      <c r="C503" s="98">
        <f>VLOOKUP(A503,References!$C:$D,2,0)</f>
        <v>159.30232558139537</v>
      </c>
    </row>
    <row r="504" spans="1:3">
      <c r="A504" t="s">
        <v>1505</v>
      </c>
      <c r="B504" t="s">
        <v>1505</v>
      </c>
      <c r="C504" s="98">
        <f>VLOOKUP(A504,References!$C:$D,2,0)</f>
        <v>209.81818181818181</v>
      </c>
    </row>
    <row r="505" spans="1:3">
      <c r="A505" t="s">
        <v>1508</v>
      </c>
      <c r="B505" t="s">
        <v>1508</v>
      </c>
      <c r="C505" s="98">
        <f>VLOOKUP(A505,References!$C:$D,2,0)</f>
        <v>159.30232558139537</v>
      </c>
    </row>
    <row r="506" spans="1:3">
      <c r="A506" t="s">
        <v>1076</v>
      </c>
      <c r="B506" t="s">
        <v>1076</v>
      </c>
      <c r="C506" s="98">
        <f>VLOOKUP(A506,References!$C:$D,2,0)</f>
        <v>246.84491978609626</v>
      </c>
    </row>
    <row r="507" spans="1:3">
      <c r="A507" t="s">
        <v>1512</v>
      </c>
      <c r="B507" t="s">
        <v>1512</v>
      </c>
      <c r="C507" s="98">
        <f>VLOOKUP(A507,References!$C:$D,2,0)</f>
        <v>159.30232558139537</v>
      </c>
    </row>
    <row r="508" spans="1:3">
      <c r="A508" t="s">
        <v>1516</v>
      </c>
      <c r="B508" t="s">
        <v>1516</v>
      </c>
      <c r="C508" s="98">
        <f>VLOOKUP(A508,References!$C:$D,2,0)</f>
        <v>159.30232558139537</v>
      </c>
    </row>
    <row r="509" spans="1:3">
      <c r="A509" t="s">
        <v>982</v>
      </c>
      <c r="B509" t="s">
        <v>5106</v>
      </c>
      <c r="C509" s="98">
        <f>VLOOKUP(A509,References!$C:$D,2,0)</f>
        <v>246.84491978609626</v>
      </c>
    </row>
    <row r="510" spans="1:3">
      <c r="A510" t="s">
        <v>1519</v>
      </c>
      <c r="B510" t="s">
        <v>1519</v>
      </c>
      <c r="C510" s="98">
        <f>VLOOKUP(A510,References!$C:$D,2,0)</f>
        <v>131.73076923076923</v>
      </c>
    </row>
    <row r="511" spans="1:3">
      <c r="A511" t="s">
        <v>1522</v>
      </c>
      <c r="B511" t="s">
        <v>1522</v>
      </c>
      <c r="C511" s="98">
        <f>VLOOKUP(A511,References!$C:$D,2,0)</f>
        <v>209.81818181818181</v>
      </c>
    </row>
    <row r="512" spans="1:3">
      <c r="A512" t="s">
        <v>1526</v>
      </c>
      <c r="B512" t="s">
        <v>1526</v>
      </c>
      <c r="C512" s="98">
        <f>VLOOKUP(A512,References!$C:$D,2,0)</f>
        <v>246.84491978609626</v>
      </c>
    </row>
    <row r="513" spans="1:3">
      <c r="A513" t="s">
        <v>1093</v>
      </c>
      <c r="B513" t="s">
        <v>5107</v>
      </c>
      <c r="C513" s="98">
        <f>VLOOKUP(A513,References!$C:$D,2,0)</f>
        <v>246.84491978609626</v>
      </c>
    </row>
    <row r="514" spans="1:3">
      <c r="A514" t="s">
        <v>1529</v>
      </c>
      <c r="B514" t="s">
        <v>1529</v>
      </c>
      <c r="C514" s="98">
        <f>VLOOKUP(A514,References!$C:$D,2,0)</f>
        <v>246.84491978609626</v>
      </c>
    </row>
    <row r="515" spans="1:3">
      <c r="A515" t="s">
        <v>1319</v>
      </c>
      <c r="B515" t="s">
        <v>1319</v>
      </c>
      <c r="C515" s="98">
        <f>VLOOKUP(A515,References!$C:$D,2,0)</f>
        <v>209.81818181818181</v>
      </c>
    </row>
    <row r="516" spans="1:3">
      <c r="A516" t="s">
        <v>1534</v>
      </c>
      <c r="B516" t="s">
        <v>1534</v>
      </c>
      <c r="C516" s="98">
        <f>VLOOKUP(A516,References!$C:$D,2,0)</f>
        <v>246.84491978609626</v>
      </c>
    </row>
    <row r="517" spans="1:3">
      <c r="A517" t="s">
        <v>1538</v>
      </c>
      <c r="B517" t="s">
        <v>1538</v>
      </c>
      <c r="C517" s="98">
        <f>VLOOKUP(A517,References!$C:$D,2,0)</f>
        <v>209.81818181818181</v>
      </c>
    </row>
    <row r="518" spans="1:3">
      <c r="A518" t="s">
        <v>1238</v>
      </c>
      <c r="B518" t="s">
        <v>1238</v>
      </c>
      <c r="C518" s="98">
        <f>VLOOKUP(A518,References!$C:$D,2,0)</f>
        <v>209.81818181818181</v>
      </c>
    </row>
    <row r="519" spans="1:3">
      <c r="A519" t="s">
        <v>1544</v>
      </c>
      <c r="B519" t="s">
        <v>1544</v>
      </c>
      <c r="C519" s="98">
        <f>VLOOKUP(A519,References!$C:$D,2,0)</f>
        <v>246.84491978609626</v>
      </c>
    </row>
    <row r="520" spans="1:3">
      <c r="A520" t="s">
        <v>1547</v>
      </c>
      <c r="B520" t="s">
        <v>1547</v>
      </c>
      <c r="C520" s="98">
        <f>VLOOKUP(A520,References!$C:$D,2,0)</f>
        <v>246.84491978609626</v>
      </c>
    </row>
    <row r="521" spans="1:3">
      <c r="A521" t="s">
        <v>1551</v>
      </c>
      <c r="B521" t="s">
        <v>1551</v>
      </c>
      <c r="C521" s="98">
        <f>VLOOKUP(A521,References!$C:$D,2,0)</f>
        <v>209.81818181818181</v>
      </c>
    </row>
    <row r="522" spans="1:3">
      <c r="A522" t="s">
        <v>1555</v>
      </c>
      <c r="B522" t="s">
        <v>1555</v>
      </c>
      <c r="C522" s="98">
        <f>VLOOKUP(A522,References!$C:$D,2,0)</f>
        <v>159.30232558139537</v>
      </c>
    </row>
    <row r="523" spans="1:3">
      <c r="A523" t="s">
        <v>1558</v>
      </c>
      <c r="B523" t="s">
        <v>1558</v>
      </c>
      <c r="C523" s="98">
        <f>VLOOKUP(A523,References!$C:$D,2,0)</f>
        <v>246.84491978609626</v>
      </c>
    </row>
    <row r="524" spans="1:3">
      <c r="A524" t="s">
        <v>1319</v>
      </c>
      <c r="B524" t="s">
        <v>5108</v>
      </c>
      <c r="C524" s="98">
        <f>VLOOKUP(A524,References!$C:$D,2,0)</f>
        <v>209.81818181818181</v>
      </c>
    </row>
    <row r="525" spans="1:3">
      <c r="A525" t="s">
        <v>1561</v>
      </c>
      <c r="B525" t="s">
        <v>1561</v>
      </c>
      <c r="C525" s="98">
        <f>VLOOKUP(A525,References!$C:$D,2,0)</f>
        <v>246.84491978609626</v>
      </c>
    </row>
    <row r="526" spans="1:3">
      <c r="A526" t="s">
        <v>1564</v>
      </c>
      <c r="B526" t="s">
        <v>1564</v>
      </c>
      <c r="C526" s="98">
        <f>VLOOKUP(A526,References!$C:$D,2,0)</f>
        <v>209.81818181818181</v>
      </c>
    </row>
    <row r="527" spans="1:3">
      <c r="A527" t="s">
        <v>1568</v>
      </c>
      <c r="B527" t="s">
        <v>1568</v>
      </c>
      <c r="C527" s="98">
        <f>VLOOKUP(A527,References!$C:$D,2,0)</f>
        <v>209.81818181818181</v>
      </c>
    </row>
    <row r="528" spans="1:3">
      <c r="A528" t="s">
        <v>1149</v>
      </c>
      <c r="B528" t="s">
        <v>1149</v>
      </c>
      <c r="C528" s="98">
        <f>VLOOKUP(A528,References!$C:$D,2,0)</f>
        <v>131.73076923076923</v>
      </c>
    </row>
    <row r="529" spans="1:3">
      <c r="A529" t="s">
        <v>1035</v>
      </c>
      <c r="B529" t="s">
        <v>1035</v>
      </c>
      <c r="C529" s="98">
        <f>VLOOKUP(A529,References!$C:$D,2,0)</f>
        <v>246.84491978609626</v>
      </c>
    </row>
    <row r="530" spans="1:3">
      <c r="A530" t="s">
        <v>1572</v>
      </c>
      <c r="B530" t="s">
        <v>1572</v>
      </c>
      <c r="C530" s="98">
        <f>VLOOKUP(A530,References!$C:$D,2,0)</f>
        <v>131.73076923076923</v>
      </c>
    </row>
    <row r="531" spans="1:3">
      <c r="A531" t="s">
        <v>1575</v>
      </c>
      <c r="B531" t="s">
        <v>1575</v>
      </c>
      <c r="C531" s="98">
        <f>VLOOKUP(A531,References!$C:$D,2,0)</f>
        <v>131.73076923076923</v>
      </c>
    </row>
    <row r="532" spans="1:3">
      <c r="A532" t="s">
        <v>1578</v>
      </c>
      <c r="B532" t="s">
        <v>1578</v>
      </c>
      <c r="C532" s="98">
        <f>VLOOKUP(A532,References!$C:$D,2,0)</f>
        <v>246.84491978609626</v>
      </c>
    </row>
    <row r="533" spans="1:3">
      <c r="A533" t="s">
        <v>1582</v>
      </c>
      <c r="B533" t="s">
        <v>1582</v>
      </c>
      <c r="C533" s="98">
        <f>VLOOKUP(A533,References!$C:$D,2,0)</f>
        <v>246.84491978609626</v>
      </c>
    </row>
    <row r="534" spans="1:3">
      <c r="A534" t="s">
        <v>1046</v>
      </c>
      <c r="B534" t="s">
        <v>5109</v>
      </c>
      <c r="C534" s="98">
        <f>VLOOKUP(A534,References!$C:$D,2,0)</f>
        <v>246.84491978609626</v>
      </c>
    </row>
    <row r="535" spans="1:3">
      <c r="A535" t="s">
        <v>1589</v>
      </c>
      <c r="B535" t="s">
        <v>1589</v>
      </c>
      <c r="C535" s="98">
        <f>VLOOKUP(A535,References!$C:$D,2,0)</f>
        <v>246.84491978609626</v>
      </c>
    </row>
    <row r="536" spans="1:3">
      <c r="A536" t="s">
        <v>1586</v>
      </c>
      <c r="B536" t="s">
        <v>1586</v>
      </c>
      <c r="C536" s="98">
        <f>VLOOKUP(A536,References!$C:$D,2,0)</f>
        <v>131.73076923076923</v>
      </c>
    </row>
    <row r="537" spans="1:3">
      <c r="A537" t="s">
        <v>1592</v>
      </c>
      <c r="B537" t="s">
        <v>1592</v>
      </c>
      <c r="C537" s="98">
        <f>VLOOKUP(A537,References!$C:$D,2,0)</f>
        <v>135.75539568345323</v>
      </c>
    </row>
    <row r="538" spans="1:3">
      <c r="A538" t="s">
        <v>1538</v>
      </c>
      <c r="B538" t="s">
        <v>5110</v>
      </c>
      <c r="C538" s="98">
        <f>VLOOKUP(A538,References!$C:$D,2,0)</f>
        <v>209.81818181818181</v>
      </c>
    </row>
    <row r="539" spans="1:3">
      <c r="A539" t="s">
        <v>1596</v>
      </c>
      <c r="B539" t="s">
        <v>1596</v>
      </c>
      <c r="C539" s="98">
        <f>VLOOKUP(A539,References!$C:$D,2,0)</f>
        <v>135.75539568345323</v>
      </c>
    </row>
    <row r="540" spans="1:3">
      <c r="A540" t="s">
        <v>1599</v>
      </c>
      <c r="B540" t="s">
        <v>1599</v>
      </c>
      <c r="C540" s="98">
        <f>VLOOKUP(A540,References!$C:$D,2,0)</f>
        <v>135.75539568345323</v>
      </c>
    </row>
    <row r="541" spans="1:3">
      <c r="A541" t="s">
        <v>1455</v>
      </c>
      <c r="B541" t="s">
        <v>1455</v>
      </c>
      <c r="C541" s="98">
        <f>VLOOKUP(A541,References!$C:$D,2,0)</f>
        <v>159.30232558139537</v>
      </c>
    </row>
    <row r="542" spans="1:3">
      <c r="A542" t="s">
        <v>995</v>
      </c>
      <c r="B542" t="s">
        <v>995</v>
      </c>
      <c r="C542" s="98">
        <f>VLOOKUP(A542,References!$C:$D,2,0)</f>
        <v>135.75539568345323</v>
      </c>
    </row>
    <row r="543" spans="1:3">
      <c r="A543" t="s">
        <v>1606</v>
      </c>
      <c r="B543" t="s">
        <v>1606</v>
      </c>
      <c r="C543" s="98">
        <f>VLOOKUP(A543,References!$C:$D,2,0)</f>
        <v>209.81818181818181</v>
      </c>
    </row>
    <row r="544" spans="1:3">
      <c r="A544" t="s">
        <v>1611</v>
      </c>
      <c r="B544" t="s">
        <v>5111</v>
      </c>
      <c r="C544" s="98">
        <f>VLOOKUP(A544,References!$C:$D,2,0)</f>
        <v>231.9597989949749</v>
      </c>
    </row>
    <row r="545" spans="1:3">
      <c r="A545" t="s">
        <v>1613</v>
      </c>
      <c r="B545" t="s">
        <v>5112</v>
      </c>
      <c r="C545" s="98">
        <f>VLOOKUP(A545,References!$C:$D,2,0)</f>
        <v>231.9597989949749</v>
      </c>
    </row>
    <row r="546" spans="1:3">
      <c r="A546" t="s">
        <v>1616</v>
      </c>
      <c r="B546" t="s">
        <v>5113</v>
      </c>
      <c r="C546" s="98">
        <f>VLOOKUP(A546,References!$C:$D,2,0)</f>
        <v>231.9597989949749</v>
      </c>
    </row>
    <row r="547" spans="1:3">
      <c r="A547" t="s">
        <v>1617</v>
      </c>
      <c r="B547" t="s">
        <v>5114</v>
      </c>
      <c r="C547" s="98">
        <f>VLOOKUP(A547,References!$C:$D,2,0)</f>
        <v>231.9597989949749</v>
      </c>
    </row>
    <row r="548" spans="1:3">
      <c r="A548" t="s">
        <v>1618</v>
      </c>
      <c r="B548" t="s">
        <v>5115</v>
      </c>
      <c r="C548" s="98">
        <f>VLOOKUP(A548,References!$C:$D,2,0)</f>
        <v>231.9597989949749</v>
      </c>
    </row>
    <row r="549" spans="1:3">
      <c r="A549" t="s">
        <v>1619</v>
      </c>
      <c r="B549" t="s">
        <v>5116</v>
      </c>
      <c r="C549" s="98">
        <f>VLOOKUP(A549,References!$C:$D,2,0)</f>
        <v>231.9597989949749</v>
      </c>
    </row>
    <row r="550" spans="1:3">
      <c r="A550" t="s">
        <v>1620</v>
      </c>
      <c r="B550" t="s">
        <v>5117</v>
      </c>
      <c r="C550" s="98">
        <f>VLOOKUP(A550,References!$C:$D,2,0)</f>
        <v>231.9597989949749</v>
      </c>
    </row>
    <row r="551" spans="1:3">
      <c r="A551" t="s">
        <v>1621</v>
      </c>
      <c r="B551" t="s">
        <v>5118</v>
      </c>
      <c r="C551" s="98">
        <f>VLOOKUP(A551,References!$C:$D,2,0)</f>
        <v>231.9597989949749</v>
      </c>
    </row>
    <row r="552" spans="1:3">
      <c r="A552" t="s">
        <v>1622</v>
      </c>
      <c r="B552" t="s">
        <v>5119</v>
      </c>
      <c r="C552" s="98">
        <f>VLOOKUP(A552,References!$C:$D,2,0)</f>
        <v>231.9597989949749</v>
      </c>
    </row>
    <row r="553" spans="1:3">
      <c r="A553" t="s">
        <v>1624</v>
      </c>
      <c r="B553" t="s">
        <v>1624</v>
      </c>
      <c r="C553" s="98">
        <f>VLOOKUP(A553,References!$C:$D,2,0)</f>
        <v>231.9597989949749</v>
      </c>
    </row>
    <row r="554" spans="1:3">
      <c r="A554" t="s">
        <v>1628</v>
      </c>
      <c r="B554" t="s">
        <v>1628</v>
      </c>
      <c r="C554" s="98">
        <f>VLOOKUP(A554,References!$C:$D,2,0)</f>
        <v>231.9597989949749</v>
      </c>
    </row>
    <row r="555" spans="1:3">
      <c r="A555" t="s">
        <v>1632</v>
      </c>
      <c r="B555" t="s">
        <v>1632</v>
      </c>
      <c r="C555" s="98">
        <f>VLOOKUP(A555,References!$C:$D,2,0)</f>
        <v>231.9597989949749</v>
      </c>
    </row>
    <row r="556" spans="1:3">
      <c r="A556" t="s">
        <v>1636</v>
      </c>
      <c r="B556" t="s">
        <v>1636</v>
      </c>
      <c r="C556" s="98">
        <f>VLOOKUP(A556,References!$C:$D,2,0)</f>
        <v>231.9597989949749</v>
      </c>
    </row>
    <row r="557" spans="1:3">
      <c r="A557" t="s">
        <v>1640</v>
      </c>
      <c r="B557" t="s">
        <v>1640</v>
      </c>
      <c r="C557" s="98">
        <f>VLOOKUP(A557,References!$C:$D,2,0)</f>
        <v>231.9597989949749</v>
      </c>
    </row>
    <row r="558" spans="1:3">
      <c r="A558" t="s">
        <v>1643</v>
      </c>
      <c r="B558" t="s">
        <v>5120</v>
      </c>
      <c r="C558" s="98">
        <f>VLOOKUP(A558,References!$C:$D,2,0)</f>
        <v>231.9597989949749</v>
      </c>
    </row>
    <row r="559" spans="1:3">
      <c r="A559" t="s">
        <v>1645</v>
      </c>
      <c r="B559" t="s">
        <v>5121</v>
      </c>
      <c r="C559" s="98">
        <f>VLOOKUP(A559,References!$C:$D,2,0)</f>
        <v>231.9597989949749</v>
      </c>
    </row>
    <row r="560" spans="1:3">
      <c r="A560" t="s">
        <v>1647</v>
      </c>
      <c r="B560" t="s">
        <v>5122</v>
      </c>
      <c r="C560" s="98">
        <f>VLOOKUP(A560,References!$C:$D,2,0)</f>
        <v>231.9597989949749</v>
      </c>
    </row>
    <row r="561" spans="1:3">
      <c r="A561" t="s">
        <v>1649</v>
      </c>
      <c r="B561" t="s">
        <v>5123</v>
      </c>
      <c r="C561" s="98">
        <f>VLOOKUP(A561,References!$C:$D,2,0)</f>
        <v>231.9597989949749</v>
      </c>
    </row>
    <row r="562" spans="1:3">
      <c r="A562" t="s">
        <v>1651</v>
      </c>
      <c r="B562" t="s">
        <v>5124</v>
      </c>
      <c r="C562" s="98">
        <f>VLOOKUP(A562,References!$C:$D,2,0)</f>
        <v>231.9597989949749</v>
      </c>
    </row>
    <row r="563" spans="1:3">
      <c r="A563" t="s">
        <v>1653</v>
      </c>
      <c r="B563" t="s">
        <v>5125</v>
      </c>
      <c r="C563" s="98">
        <f>VLOOKUP(A563,References!$C:$D,2,0)</f>
        <v>231.9597989949749</v>
      </c>
    </row>
    <row r="564" spans="1:3">
      <c r="A564" t="s">
        <v>1654</v>
      </c>
      <c r="B564" t="s">
        <v>5126</v>
      </c>
      <c r="C564" s="98">
        <f>VLOOKUP(A564,References!$C:$D,2,0)</f>
        <v>233.13131313131314</v>
      </c>
    </row>
    <row r="565" spans="1:3">
      <c r="A565" t="s">
        <v>1655</v>
      </c>
      <c r="B565" t="s">
        <v>5127</v>
      </c>
      <c r="C565" s="98">
        <f>VLOOKUP(A565,References!$C:$D,2,0)</f>
        <v>233.13131313131314</v>
      </c>
    </row>
    <row r="566" spans="1:3">
      <c r="A566" t="s">
        <v>1657</v>
      </c>
      <c r="B566" t="s">
        <v>5128</v>
      </c>
      <c r="C566" s="98">
        <f>VLOOKUP(A566,References!$C:$D,2,0)</f>
        <v>233.13131313131314</v>
      </c>
    </row>
    <row r="567" spans="1:3">
      <c r="A567" t="s">
        <v>1659</v>
      </c>
      <c r="B567" t="s">
        <v>1659</v>
      </c>
      <c r="C567" s="98">
        <f>VLOOKUP(A567,References!$C:$D,2,0)</f>
        <v>233.13131313131314</v>
      </c>
    </row>
    <row r="568" spans="1:3">
      <c r="A568" t="s">
        <v>1663</v>
      </c>
      <c r="B568" t="s">
        <v>1663</v>
      </c>
      <c r="C568" s="98">
        <f>VLOOKUP(A568,References!$C:$D,2,0)</f>
        <v>233.13131313131314</v>
      </c>
    </row>
    <row r="569" spans="1:3">
      <c r="A569" t="s">
        <v>1667</v>
      </c>
      <c r="B569" t="s">
        <v>1667</v>
      </c>
      <c r="C569" s="98">
        <f>VLOOKUP(A569,References!$C:$D,2,0)</f>
        <v>233.13131313131314</v>
      </c>
    </row>
    <row r="570" spans="1:3">
      <c r="A570" t="s">
        <v>1671</v>
      </c>
      <c r="B570" t="s">
        <v>1671</v>
      </c>
      <c r="C570" s="98">
        <f>VLOOKUP(A570,References!$C:$D,2,0)</f>
        <v>233.13131313131314</v>
      </c>
    </row>
    <row r="571" spans="1:3">
      <c r="A571" t="s">
        <v>1675</v>
      </c>
      <c r="B571" t="s">
        <v>5129</v>
      </c>
      <c r="C571" s="98">
        <f>VLOOKUP(A571,References!$C:$D,2,0)</f>
        <v>233.13131313131314</v>
      </c>
    </row>
    <row r="572" spans="1:3">
      <c r="A572" t="s">
        <v>1677</v>
      </c>
      <c r="B572" t="s">
        <v>1677</v>
      </c>
      <c r="C572" s="98">
        <f>VLOOKUP(A572,References!$C:$D,2,0)</f>
        <v>233.13131313131314</v>
      </c>
    </row>
    <row r="573" spans="1:3">
      <c r="A573" t="s">
        <v>1681</v>
      </c>
      <c r="B573" t="s">
        <v>1681</v>
      </c>
      <c r="C573" s="98">
        <f>VLOOKUP(A573,References!$C:$D,2,0)</f>
        <v>233.13131313131314</v>
      </c>
    </row>
    <row r="574" spans="1:3">
      <c r="A574" t="s">
        <v>1685</v>
      </c>
      <c r="B574" t="s">
        <v>1685</v>
      </c>
      <c r="C574" s="98">
        <f>VLOOKUP(A574,References!$C:$D,2,0)</f>
        <v>190.74380165289256</v>
      </c>
    </row>
    <row r="575" spans="1:3">
      <c r="A575" t="s">
        <v>1689</v>
      </c>
      <c r="B575" t="s">
        <v>1689</v>
      </c>
      <c r="C575" s="98">
        <f>VLOOKUP(A575,References!$C:$D,2,0)</f>
        <v>190.74380165289256</v>
      </c>
    </row>
    <row r="576" spans="1:3">
      <c r="A576" t="s">
        <v>1693</v>
      </c>
      <c r="B576" t="s">
        <v>5130</v>
      </c>
      <c r="C576" s="98">
        <f>VLOOKUP(A576,References!$C:$D,2,0)</f>
        <v>260.79096045197741</v>
      </c>
    </row>
    <row r="577" spans="1:3">
      <c r="A577" t="s">
        <v>1694</v>
      </c>
      <c r="B577" t="s">
        <v>5131</v>
      </c>
      <c r="C577" s="98">
        <f>VLOOKUP(A577,References!$C:$D,2,0)</f>
        <v>260.79096045197741</v>
      </c>
    </row>
    <row r="578" spans="1:3">
      <c r="A578" t="s">
        <v>1695</v>
      </c>
      <c r="B578" t="s">
        <v>5132</v>
      </c>
      <c r="C578" s="98">
        <f>VLOOKUP(A578,References!$C:$D,2,0)</f>
        <v>260.79096045197741</v>
      </c>
    </row>
    <row r="579" spans="1:3">
      <c r="A579" t="s">
        <v>1697</v>
      </c>
      <c r="B579" t="s">
        <v>5133</v>
      </c>
      <c r="C579" s="98">
        <f>VLOOKUP(A579,References!$C:$D,2,0)</f>
        <v>260.79096045197741</v>
      </c>
    </row>
    <row r="580" spans="1:3">
      <c r="A580" t="s">
        <v>1698</v>
      </c>
      <c r="B580" t="s">
        <v>5134</v>
      </c>
      <c r="C580" s="98">
        <f>VLOOKUP(A580,References!$C:$D,2,0)</f>
        <v>260.79096045197741</v>
      </c>
    </row>
    <row r="581" spans="1:3">
      <c r="A581" t="s">
        <v>1699</v>
      </c>
      <c r="B581" t="s">
        <v>5135</v>
      </c>
      <c r="C581" s="98">
        <f>VLOOKUP(A581,References!$C:$D,2,0)</f>
        <v>260.79096045197741</v>
      </c>
    </row>
    <row r="582" spans="1:3">
      <c r="A582" t="s">
        <v>1701</v>
      </c>
      <c r="B582" t="s">
        <v>5136</v>
      </c>
      <c r="C582" s="98">
        <f>VLOOKUP(A582,References!$C:$D,2,0)</f>
        <v>260.79096045197741</v>
      </c>
    </row>
    <row r="583" spans="1:3">
      <c r="A583" t="s">
        <v>1703</v>
      </c>
      <c r="B583" t="s">
        <v>5137</v>
      </c>
      <c r="C583" s="98">
        <f>VLOOKUP(A583,References!$C:$D,2,0)</f>
        <v>260.79096045197741</v>
      </c>
    </row>
    <row r="584" spans="1:3">
      <c r="A584" t="s">
        <v>1705</v>
      </c>
      <c r="B584" t="s">
        <v>5138</v>
      </c>
      <c r="C584" s="98">
        <f>VLOOKUP(A584,References!$C:$D,2,0)</f>
        <v>260.79096045197741</v>
      </c>
    </row>
    <row r="585" spans="1:3">
      <c r="A585" t="s">
        <v>1707</v>
      </c>
      <c r="B585" t="s">
        <v>5139</v>
      </c>
      <c r="C585" s="98">
        <f>VLOOKUP(A585,References!$C:$D,2,0)</f>
        <v>260.79096045197741</v>
      </c>
    </row>
    <row r="586" spans="1:3">
      <c r="A586" t="s">
        <v>1708</v>
      </c>
      <c r="B586" t="s">
        <v>5140</v>
      </c>
      <c r="C586" s="98">
        <f>VLOOKUP(A586,References!$C:$D,2,0)</f>
        <v>260.79096045197741</v>
      </c>
    </row>
    <row r="587" spans="1:3">
      <c r="A587" t="s">
        <v>1710</v>
      </c>
      <c r="B587" t="s">
        <v>1710</v>
      </c>
      <c r="C587" s="98">
        <f>VLOOKUP(A587,References!$C:$D,2,0)</f>
        <v>260.79096045197741</v>
      </c>
    </row>
    <row r="588" spans="1:3">
      <c r="A588" t="s">
        <v>1714</v>
      </c>
      <c r="B588" t="s">
        <v>1714</v>
      </c>
      <c r="C588" s="98">
        <f>VLOOKUP(A588,References!$C:$D,2,0)</f>
        <v>135.75539568345323</v>
      </c>
    </row>
    <row r="589" spans="1:3">
      <c r="A589" t="s">
        <v>1718</v>
      </c>
      <c r="B589" t="s">
        <v>5141</v>
      </c>
      <c r="C589" s="98">
        <f>VLOOKUP(A589,References!$C:$D,2,0)</f>
        <v>135.75539568345323</v>
      </c>
    </row>
    <row r="590" spans="1:3">
      <c r="A590" t="s">
        <v>1720</v>
      </c>
      <c r="B590" t="s">
        <v>5142</v>
      </c>
      <c r="C590" s="98">
        <f>VLOOKUP(A590,References!$C:$D,2,0)</f>
        <v>135.75539568345323</v>
      </c>
    </row>
    <row r="591" spans="1:3">
      <c r="A591" t="s">
        <v>1723</v>
      </c>
      <c r="B591" t="s">
        <v>5143</v>
      </c>
      <c r="C591" s="98">
        <f>VLOOKUP(A591,References!$C:$D,2,0)</f>
        <v>135.75539568345323</v>
      </c>
    </row>
    <row r="592" spans="1:3">
      <c r="A592" t="s">
        <v>1724</v>
      </c>
      <c r="B592" t="s">
        <v>5144</v>
      </c>
      <c r="C592" s="98">
        <f>VLOOKUP(A592,References!$C:$D,2,0)</f>
        <v>135.75539568345323</v>
      </c>
    </row>
    <row r="593" spans="1:3">
      <c r="A593" t="s">
        <v>1725</v>
      </c>
      <c r="B593" t="s">
        <v>5145</v>
      </c>
      <c r="C593" s="98">
        <f>VLOOKUP(A593,References!$C:$D,2,0)</f>
        <v>135.75539568345323</v>
      </c>
    </row>
    <row r="594" spans="1:3">
      <c r="A594" t="s">
        <v>1727</v>
      </c>
      <c r="B594" t="s">
        <v>1727</v>
      </c>
      <c r="C594" s="98">
        <f>VLOOKUP(A594,References!$C:$D,2,0)</f>
        <v>135.75539568345323</v>
      </c>
    </row>
    <row r="595" spans="1:3">
      <c r="A595" t="s">
        <v>1731</v>
      </c>
      <c r="B595" t="s">
        <v>1731</v>
      </c>
      <c r="C595" s="98">
        <f>VLOOKUP(A595,References!$C:$D,2,0)</f>
        <v>135.75539568345323</v>
      </c>
    </row>
    <row r="596" spans="1:3">
      <c r="A596" t="s">
        <v>1735</v>
      </c>
      <c r="B596" t="s">
        <v>5146</v>
      </c>
      <c r="C596" s="98">
        <f>VLOOKUP(A596,References!$C:$D,2,0)</f>
        <v>190.74380165289256</v>
      </c>
    </row>
    <row r="597" spans="1:3">
      <c r="A597" t="s">
        <v>1737</v>
      </c>
      <c r="B597" t="s">
        <v>5147</v>
      </c>
      <c r="C597" s="98">
        <f>VLOOKUP(A597,References!$C:$D,2,0)</f>
        <v>190.74380165289256</v>
      </c>
    </row>
    <row r="598" spans="1:3">
      <c r="A598" t="s">
        <v>1739</v>
      </c>
      <c r="B598" t="s">
        <v>5148</v>
      </c>
      <c r="C598" s="98">
        <f>VLOOKUP(A598,References!$C:$D,2,0)</f>
        <v>190.74380165289256</v>
      </c>
    </row>
    <row r="599" spans="1:3">
      <c r="A599" t="s">
        <v>1741</v>
      </c>
      <c r="B599" t="s">
        <v>5149</v>
      </c>
      <c r="C599" s="98">
        <f>VLOOKUP(A599,References!$C:$D,2,0)</f>
        <v>190.74380165289256</v>
      </c>
    </row>
    <row r="600" spans="1:3">
      <c r="A600" t="s">
        <v>1743</v>
      </c>
      <c r="B600" t="s">
        <v>5150</v>
      </c>
      <c r="C600" s="98">
        <f>VLOOKUP(A600,References!$C:$D,2,0)</f>
        <v>190.74380165289256</v>
      </c>
    </row>
    <row r="601" spans="1:3">
      <c r="A601" t="s">
        <v>1745</v>
      </c>
      <c r="B601" t="s">
        <v>1745</v>
      </c>
      <c r="C601" s="98">
        <f>VLOOKUP(A601,References!$C:$D,2,0)</f>
        <v>190.74380165289256</v>
      </c>
    </row>
    <row r="602" spans="1:3">
      <c r="A602" t="s">
        <v>1749</v>
      </c>
      <c r="B602" t="s">
        <v>1749</v>
      </c>
      <c r="C602" s="98">
        <f>VLOOKUP(A602,References!$C:$D,2,0)</f>
        <v>190.74380165289256</v>
      </c>
    </row>
    <row r="603" spans="1:3">
      <c r="A603" t="s">
        <v>1753</v>
      </c>
      <c r="B603" t="s">
        <v>1753</v>
      </c>
      <c r="C603" s="98">
        <f>VLOOKUP(A603,References!$C:$D,2,0)</f>
        <v>190.74380165289256</v>
      </c>
    </row>
    <row r="604" spans="1:3">
      <c r="A604" t="s">
        <v>1757</v>
      </c>
      <c r="B604" t="s">
        <v>1757</v>
      </c>
      <c r="C604" s="98">
        <f>VLOOKUP(A604,References!$C:$D,2,0)</f>
        <v>190.74380165289256</v>
      </c>
    </row>
    <row r="605" spans="1:3">
      <c r="A605" t="s">
        <v>1761</v>
      </c>
      <c r="B605" t="s">
        <v>1761</v>
      </c>
      <c r="C605" s="98">
        <f>VLOOKUP(A605,References!$C:$D,2,0)</f>
        <v>190.74380165289256</v>
      </c>
    </row>
    <row r="606" spans="1:3">
      <c r="A606" t="s">
        <v>1765</v>
      </c>
      <c r="B606" t="s">
        <v>5151</v>
      </c>
      <c r="C606" s="98">
        <f>VLOOKUP(A606,References!$C:$D,2,0)</f>
        <v>190.74380165289256</v>
      </c>
    </row>
    <row r="607" spans="1:3">
      <c r="A607" t="s">
        <v>1767</v>
      </c>
      <c r="B607" t="s">
        <v>5152</v>
      </c>
      <c r="C607" s="98">
        <f>VLOOKUP(A607,References!$C:$D,2,0)</f>
        <v>190.74380165289256</v>
      </c>
    </row>
    <row r="608" spans="1:3">
      <c r="A608" t="s">
        <v>1769</v>
      </c>
      <c r="B608" t="s">
        <v>1769</v>
      </c>
      <c r="C608" s="98">
        <f>VLOOKUP(A608,References!$C:$D,2,0)</f>
        <v>190.74380165289256</v>
      </c>
    </row>
    <row r="609" spans="1:3">
      <c r="A609" t="s">
        <v>1773</v>
      </c>
      <c r="B609" t="s">
        <v>1773</v>
      </c>
      <c r="C609" s="98">
        <f>VLOOKUP(A609,References!$C:$D,2,0)</f>
        <v>190.74380165289256</v>
      </c>
    </row>
    <row r="610" spans="1:3">
      <c r="A610" t="s">
        <v>1777</v>
      </c>
      <c r="B610" t="s">
        <v>1777</v>
      </c>
      <c r="C610" s="98">
        <f>VLOOKUP(A610,References!$C:$D,2,0)</f>
        <v>190.74380165289256</v>
      </c>
    </row>
    <row r="611" spans="1:3">
      <c r="A611" t="s">
        <v>1781</v>
      </c>
      <c r="B611" t="s">
        <v>1781</v>
      </c>
      <c r="C611" s="98">
        <f>VLOOKUP(A611,References!$C:$D,2,0)</f>
        <v>190.74380165289256</v>
      </c>
    </row>
    <row r="612" spans="1:3">
      <c r="A612" t="s">
        <v>1784</v>
      </c>
      <c r="B612" t="s">
        <v>1784</v>
      </c>
      <c r="C612" s="98">
        <f>VLOOKUP(A612,References!$C:$D,2,0)</f>
        <v>233.13131313131314</v>
      </c>
    </row>
    <row r="613" spans="1:3">
      <c r="A613" t="s">
        <v>1788</v>
      </c>
      <c r="B613" t="s">
        <v>5153</v>
      </c>
      <c r="C613" s="98">
        <f>VLOOKUP(A613,References!$C:$D,2,0)</f>
        <v>233.13131313131314</v>
      </c>
    </row>
    <row r="614" spans="1:3">
      <c r="A614" t="s">
        <v>1790</v>
      </c>
      <c r="B614" t="s">
        <v>1790</v>
      </c>
      <c r="C614" s="98">
        <f>VLOOKUP(A614,References!$C:$D,2,0)</f>
        <v>233.13131313131314</v>
      </c>
    </row>
    <row r="615" spans="1:3">
      <c r="A615" t="s">
        <v>1794</v>
      </c>
      <c r="B615" t="s">
        <v>5154</v>
      </c>
      <c r="C615" s="98">
        <f>VLOOKUP(A615,References!$C:$D,2,0)</f>
        <v>233.13131313131314</v>
      </c>
    </row>
    <row r="616" spans="1:3">
      <c r="A616" t="s">
        <v>1796</v>
      </c>
      <c r="B616" t="s">
        <v>1796</v>
      </c>
      <c r="C616" s="98">
        <f>VLOOKUP(A616,References!$C:$D,2,0)</f>
        <v>233.13131313131314</v>
      </c>
    </row>
    <row r="617" spans="1:3">
      <c r="A617" t="s">
        <v>1800</v>
      </c>
      <c r="B617" t="s">
        <v>1800</v>
      </c>
      <c r="C617" s="98">
        <f>VLOOKUP(A617,References!$C:$D,2,0)</f>
        <v>233.13131313131314</v>
      </c>
    </row>
    <row r="618" spans="1:3">
      <c r="A618" t="s">
        <v>1804</v>
      </c>
      <c r="B618" t="s">
        <v>1804</v>
      </c>
      <c r="C618" s="98">
        <f>VLOOKUP(A618,References!$C:$D,2,0)</f>
        <v>233.13131313131314</v>
      </c>
    </row>
    <row r="619" spans="1:3">
      <c r="A619" t="s">
        <v>1808</v>
      </c>
      <c r="B619" t="s">
        <v>1808</v>
      </c>
      <c r="C619" s="98">
        <f>VLOOKUP(A619,References!$C:$D,2,0)</f>
        <v>233.13131313131314</v>
      </c>
    </row>
    <row r="620" spans="1:3">
      <c r="A620" t="s">
        <v>1812</v>
      </c>
      <c r="B620" t="s">
        <v>1812</v>
      </c>
      <c r="C620" s="98">
        <f>VLOOKUP(A620,References!$C:$D,2,0)</f>
        <v>233.13131313131314</v>
      </c>
    </row>
    <row r="621" spans="1:3">
      <c r="A621" t="s">
        <v>1816</v>
      </c>
      <c r="B621" t="s">
        <v>5155</v>
      </c>
      <c r="C621" s="98">
        <f>VLOOKUP(A621,References!$C:$D,2,0)</f>
        <v>233.13131313131314</v>
      </c>
    </row>
    <row r="622" spans="1:3">
      <c r="A622" t="s">
        <v>1818</v>
      </c>
      <c r="B622" t="s">
        <v>1818</v>
      </c>
      <c r="C622" s="98">
        <f>VLOOKUP(A622,References!$C:$D,2,0)</f>
        <v>233.13131313131314</v>
      </c>
    </row>
    <row r="623" spans="1:3">
      <c r="A623" t="s">
        <v>1822</v>
      </c>
      <c r="B623" t="s">
        <v>1822</v>
      </c>
      <c r="C623" s="98">
        <f>VLOOKUP(A623,References!$C:$D,2,0)</f>
        <v>233.13131313131314</v>
      </c>
    </row>
    <row r="624" spans="1:3">
      <c r="A624" t="s">
        <v>1826</v>
      </c>
      <c r="B624" t="s">
        <v>5156</v>
      </c>
      <c r="C624" s="98">
        <f>VLOOKUP(A624,References!$C:$D,2,0)</f>
        <v>233.13131313131314</v>
      </c>
    </row>
    <row r="625" spans="1:3">
      <c r="A625" t="s">
        <v>1828</v>
      </c>
      <c r="B625" t="s">
        <v>1828</v>
      </c>
      <c r="C625" s="98">
        <f>VLOOKUP(A625,References!$C:$D,2,0)</f>
        <v>192.33333333333334</v>
      </c>
    </row>
    <row r="626" spans="1:3">
      <c r="A626" t="s">
        <v>1619</v>
      </c>
      <c r="B626" t="s">
        <v>5157</v>
      </c>
      <c r="C626" s="98">
        <f>VLOOKUP(A626,References!$C:$D,2,0)</f>
        <v>231.9597989949749</v>
      </c>
    </row>
    <row r="627" spans="1:3">
      <c r="A627" t="s">
        <v>1833</v>
      </c>
      <c r="B627" t="s">
        <v>1833</v>
      </c>
      <c r="C627" s="98">
        <f>VLOOKUP(A627,References!$C:$D,2,0)</f>
        <v>129.24528301886792</v>
      </c>
    </row>
    <row r="628" spans="1:3">
      <c r="A628" t="s">
        <v>1836</v>
      </c>
      <c r="B628" t="s">
        <v>1836</v>
      </c>
      <c r="C628" s="98">
        <f>VLOOKUP(A628,References!$C:$D,2,0)</f>
        <v>144.25</v>
      </c>
    </row>
    <row r="629" spans="1:3">
      <c r="A629" t="s">
        <v>1840</v>
      </c>
      <c r="B629" t="s">
        <v>1840</v>
      </c>
      <c r="C629" s="98">
        <f>VLOOKUP(A629,References!$C:$D,2,0)</f>
        <v>144.25</v>
      </c>
    </row>
    <row r="630" spans="1:3">
      <c r="A630" t="s">
        <v>1844</v>
      </c>
      <c r="B630" t="s">
        <v>1844</v>
      </c>
      <c r="C630" s="98">
        <f>VLOOKUP(A630,References!$C:$D,2,0)</f>
        <v>144.25</v>
      </c>
    </row>
    <row r="631" spans="1:3">
      <c r="A631" t="s">
        <v>1848</v>
      </c>
      <c r="B631" t="s">
        <v>5158</v>
      </c>
      <c r="C631" s="98">
        <f>VLOOKUP(A631,References!$C:$D,2,0)</f>
        <v>144.25</v>
      </c>
    </row>
    <row r="632" spans="1:3">
      <c r="A632" t="s">
        <v>1850</v>
      </c>
      <c r="B632" t="s">
        <v>1850</v>
      </c>
      <c r="C632" s="98">
        <f>VLOOKUP(A632,References!$C:$D,2,0)</f>
        <v>144.25</v>
      </c>
    </row>
    <row r="633" spans="1:3">
      <c r="A633" t="s">
        <v>1854</v>
      </c>
      <c r="B633" t="s">
        <v>5159</v>
      </c>
      <c r="C633" s="98">
        <f>VLOOKUP(A633,References!$C:$D,2,0)</f>
        <v>144.25</v>
      </c>
    </row>
    <row r="634" spans="1:3">
      <c r="A634" t="s">
        <v>1856</v>
      </c>
      <c r="B634" t="s">
        <v>1856</v>
      </c>
      <c r="C634" s="98">
        <f>VLOOKUP(A634,References!$C:$D,2,0)</f>
        <v>144.25</v>
      </c>
    </row>
    <row r="635" spans="1:3">
      <c r="A635" t="s">
        <v>1860</v>
      </c>
      <c r="B635" t="s">
        <v>1860</v>
      </c>
      <c r="C635" s="98">
        <f>VLOOKUP(A635,References!$C:$D,2,0)</f>
        <v>144.25</v>
      </c>
    </row>
    <row r="636" spans="1:3">
      <c r="A636" t="s">
        <v>1864</v>
      </c>
      <c r="B636" t="s">
        <v>1864</v>
      </c>
      <c r="C636" s="98">
        <f>VLOOKUP(A636,References!$C:$D,2,0)</f>
        <v>144.25</v>
      </c>
    </row>
    <row r="637" spans="1:3">
      <c r="A637" t="s">
        <v>1868</v>
      </c>
      <c r="B637" t="s">
        <v>1868</v>
      </c>
      <c r="C637" s="98">
        <f>VLOOKUP(A637,References!$C:$D,2,0)</f>
        <v>144.25</v>
      </c>
    </row>
    <row r="638" spans="1:3">
      <c r="A638" t="s">
        <v>1872</v>
      </c>
      <c r="B638" t="s">
        <v>1872</v>
      </c>
      <c r="C638" s="98">
        <f>VLOOKUP(A638,References!$C:$D,2,0)</f>
        <v>95.938375350140063</v>
      </c>
    </row>
    <row r="639" spans="1:3">
      <c r="A639" t="s">
        <v>1876</v>
      </c>
      <c r="B639" t="s">
        <v>1876</v>
      </c>
      <c r="C639" s="98">
        <f>VLOOKUP(A639,References!$C:$D,2,0)</f>
        <v>95.938375350140063</v>
      </c>
    </row>
    <row r="640" spans="1:3">
      <c r="A640" t="s">
        <v>1880</v>
      </c>
      <c r="B640" t="s">
        <v>1880</v>
      </c>
      <c r="C640" s="98">
        <f>VLOOKUP(A640,References!$C:$D,2,0)</f>
        <v>95.938375350140063</v>
      </c>
    </row>
    <row r="641" spans="1:3">
      <c r="A641" t="s">
        <v>1884</v>
      </c>
      <c r="B641" t="s">
        <v>1884</v>
      </c>
      <c r="C641" s="98">
        <f>VLOOKUP(A641,References!$C:$D,2,0)</f>
        <v>217.73584905660377</v>
      </c>
    </row>
    <row r="642" spans="1:3">
      <c r="A642" t="s">
        <v>1888</v>
      </c>
      <c r="B642" t="s">
        <v>1888</v>
      </c>
      <c r="C642" s="98">
        <f>VLOOKUP(A642,References!$C:$D,2,0)</f>
        <v>217.73584905660377</v>
      </c>
    </row>
    <row r="643" spans="1:3">
      <c r="A643" t="s">
        <v>1892</v>
      </c>
      <c r="B643" t="s">
        <v>5160</v>
      </c>
      <c r="C643" s="98">
        <f>VLOOKUP(A643,References!$C:$D,2,0)</f>
        <v>217.73584905660377</v>
      </c>
    </row>
    <row r="644" spans="1:3">
      <c r="A644" t="s">
        <v>1894</v>
      </c>
      <c r="B644" t="s">
        <v>5161</v>
      </c>
      <c r="C644" s="98">
        <f>VLOOKUP(A644,References!$C:$D,2,0)</f>
        <v>217.73584905660377</v>
      </c>
    </row>
    <row r="645" spans="1:3">
      <c r="A645" t="s">
        <v>1896</v>
      </c>
      <c r="B645" t="s">
        <v>1896</v>
      </c>
      <c r="C645" s="98">
        <f>VLOOKUP(A645,References!$C:$D,2,0)</f>
        <v>217.73584905660377</v>
      </c>
    </row>
    <row r="646" spans="1:3">
      <c r="A646" t="s">
        <v>1900</v>
      </c>
      <c r="B646" t="s">
        <v>1900</v>
      </c>
      <c r="C646" s="98">
        <f>VLOOKUP(A646,References!$C:$D,2,0)</f>
        <v>217.73584905660377</v>
      </c>
    </row>
    <row r="647" spans="1:3">
      <c r="A647" t="s">
        <v>1904</v>
      </c>
      <c r="B647" t="s">
        <v>5162</v>
      </c>
      <c r="C647" s="98">
        <f>VLOOKUP(A647,References!$C:$D,2,0)</f>
        <v>217.73584905660377</v>
      </c>
    </row>
    <row r="648" spans="1:3">
      <c r="A648" t="s">
        <v>1906</v>
      </c>
      <c r="B648" t="s">
        <v>1906</v>
      </c>
      <c r="C648" s="98">
        <f>VLOOKUP(A648,References!$C:$D,2,0)</f>
        <v>217.73584905660377</v>
      </c>
    </row>
    <row r="649" spans="1:3">
      <c r="A649" t="s">
        <v>1910</v>
      </c>
      <c r="B649" t="s">
        <v>1910</v>
      </c>
      <c r="C649" s="98">
        <f>VLOOKUP(A649,References!$C:$D,2,0)</f>
        <v>217.73584905660377</v>
      </c>
    </row>
    <row r="650" spans="1:3">
      <c r="A650" t="s">
        <v>1914</v>
      </c>
      <c r="B650" t="s">
        <v>1914</v>
      </c>
      <c r="C650" s="98">
        <f>VLOOKUP(A650,References!$C:$D,2,0)</f>
        <v>217.73584905660377</v>
      </c>
    </row>
    <row r="651" spans="1:3">
      <c r="A651" t="s">
        <v>1918</v>
      </c>
      <c r="B651" t="s">
        <v>1918</v>
      </c>
      <c r="C651" s="98">
        <f>VLOOKUP(A651,References!$C:$D,2,0)</f>
        <v>217.73584905660377</v>
      </c>
    </row>
    <row r="652" spans="1:3">
      <c r="A652" t="s">
        <v>1922</v>
      </c>
      <c r="B652" t="s">
        <v>1922</v>
      </c>
      <c r="C652" s="98">
        <f>VLOOKUP(A652,References!$C:$D,2,0)</f>
        <v>217.73584905660377</v>
      </c>
    </row>
    <row r="653" spans="1:3">
      <c r="A653" t="s">
        <v>1926</v>
      </c>
      <c r="B653" t="s">
        <v>1926</v>
      </c>
      <c r="C653" s="98">
        <f>VLOOKUP(A653,References!$C:$D,2,0)</f>
        <v>217.73584905660377</v>
      </c>
    </row>
    <row r="654" spans="1:3">
      <c r="A654" t="s">
        <v>1930</v>
      </c>
      <c r="B654" t="s">
        <v>1930</v>
      </c>
      <c r="C654" s="98">
        <f>VLOOKUP(A654,References!$C:$D,2,0)</f>
        <v>217.73584905660377</v>
      </c>
    </row>
    <row r="655" spans="1:3">
      <c r="A655" t="s">
        <v>1934</v>
      </c>
      <c r="B655" t="s">
        <v>1934</v>
      </c>
      <c r="C655" s="98">
        <f>VLOOKUP(A655,References!$C:$D,2,0)</f>
        <v>217.73584905660377</v>
      </c>
    </row>
    <row r="656" spans="1:3">
      <c r="A656" t="s">
        <v>1938</v>
      </c>
      <c r="B656" t="s">
        <v>1938</v>
      </c>
      <c r="C656" s="98">
        <f>VLOOKUP(A656,References!$C:$D,2,0)</f>
        <v>217.73584905660377</v>
      </c>
    </row>
    <row r="657" spans="1:3">
      <c r="A657" t="s">
        <v>1942</v>
      </c>
      <c r="B657" t="s">
        <v>1942</v>
      </c>
      <c r="C657" s="98">
        <f>VLOOKUP(A657,References!$C:$D,2,0)</f>
        <v>217.73584905660377</v>
      </c>
    </row>
    <row r="658" spans="1:3">
      <c r="A658" t="s">
        <v>1946</v>
      </c>
      <c r="B658" t="s">
        <v>1946</v>
      </c>
      <c r="C658" s="98">
        <f>VLOOKUP(A658,References!$C:$D,2,0)</f>
        <v>217.73584905660377</v>
      </c>
    </row>
    <row r="659" spans="1:3">
      <c r="A659" t="s">
        <v>1950</v>
      </c>
      <c r="B659" t="s">
        <v>1950</v>
      </c>
      <c r="C659" s="98">
        <f>VLOOKUP(A659,References!$C:$D,2,0)</f>
        <v>217.73584905660377</v>
      </c>
    </row>
    <row r="660" spans="1:3">
      <c r="A660" t="s">
        <v>1954</v>
      </c>
      <c r="B660" t="s">
        <v>5163</v>
      </c>
      <c r="C660" s="98">
        <f>VLOOKUP(A660,References!$C:$D,2,0)</f>
        <v>188.40816326530611</v>
      </c>
    </row>
    <row r="661" spans="1:3">
      <c r="A661" t="s">
        <v>1956</v>
      </c>
      <c r="B661" t="s">
        <v>1956</v>
      </c>
      <c r="C661" s="98">
        <f>VLOOKUP(A661,References!$C:$D,2,0)</f>
        <v>188.40816326530611</v>
      </c>
    </row>
    <row r="662" spans="1:3">
      <c r="A662" t="s">
        <v>1960</v>
      </c>
      <c r="B662" t="s">
        <v>1960</v>
      </c>
      <c r="C662" s="98">
        <f>VLOOKUP(A662,References!$C:$D,2,0)</f>
        <v>188.40816326530611</v>
      </c>
    </row>
    <row r="663" spans="1:3">
      <c r="A663" t="s">
        <v>1964</v>
      </c>
      <c r="B663" t="s">
        <v>5164</v>
      </c>
      <c r="C663" s="98">
        <f>VLOOKUP(A663,References!$C:$D,2,0)</f>
        <v>188.40816326530611</v>
      </c>
    </row>
    <row r="664" spans="1:3">
      <c r="A664" t="s">
        <v>1966</v>
      </c>
      <c r="B664" t="s">
        <v>1966</v>
      </c>
      <c r="C664" s="98">
        <f>VLOOKUP(A664,References!$C:$D,2,0)</f>
        <v>217.73584905660377</v>
      </c>
    </row>
    <row r="665" spans="1:3">
      <c r="A665" t="s">
        <v>1970</v>
      </c>
      <c r="B665" t="s">
        <v>1970</v>
      </c>
      <c r="C665" s="98">
        <f>VLOOKUP(A665,References!$C:$D,2,0)</f>
        <v>188.40816326530611</v>
      </c>
    </row>
    <row r="666" spans="1:3">
      <c r="A666" t="s">
        <v>1974</v>
      </c>
      <c r="B666" t="s">
        <v>5165</v>
      </c>
      <c r="C666" s="98">
        <f>VLOOKUP(A666,References!$C:$D,2,0)</f>
        <v>188.40816326530611</v>
      </c>
    </row>
    <row r="667" spans="1:3">
      <c r="A667" t="s">
        <v>1976</v>
      </c>
      <c r="B667" t="s">
        <v>1976</v>
      </c>
      <c r="C667" s="98">
        <f>VLOOKUP(A667,References!$C:$D,2,0)</f>
        <v>188.40816326530611</v>
      </c>
    </row>
    <row r="668" spans="1:3">
      <c r="A668" t="s">
        <v>1980</v>
      </c>
      <c r="B668" t="s">
        <v>1980</v>
      </c>
      <c r="C668" s="98">
        <f>VLOOKUP(A668,References!$C:$D,2,0)</f>
        <v>191.53526970954357</v>
      </c>
    </row>
    <row r="669" spans="1:3">
      <c r="A669" t="s">
        <v>1984</v>
      </c>
      <c r="B669" t="s">
        <v>1984</v>
      </c>
      <c r="C669" s="98">
        <f>VLOOKUP(A669,References!$C:$D,2,0)</f>
        <v>191.53526970954357</v>
      </c>
    </row>
    <row r="670" spans="1:3">
      <c r="A670" t="s">
        <v>1988</v>
      </c>
      <c r="B670" t="s">
        <v>1988</v>
      </c>
      <c r="C670" s="98">
        <f>VLOOKUP(A670,References!$C:$D,2,0)</f>
        <v>191.53526970954357</v>
      </c>
    </row>
    <row r="671" spans="1:3">
      <c r="A671" t="s">
        <v>1992</v>
      </c>
      <c r="B671" t="s">
        <v>1992</v>
      </c>
      <c r="C671" s="98">
        <f>VLOOKUP(A671,References!$C:$D,2,0)</f>
        <v>231.9597989949749</v>
      </c>
    </row>
    <row r="672" spans="1:3">
      <c r="A672" t="s">
        <v>1996</v>
      </c>
      <c r="B672" t="s">
        <v>5166</v>
      </c>
      <c r="C672" s="98">
        <f>VLOOKUP(A672,References!$C:$D,2,0)</f>
        <v>231.9597989949749</v>
      </c>
    </row>
    <row r="673" spans="1:3">
      <c r="A673" t="s">
        <v>1999</v>
      </c>
      <c r="B673" t="s">
        <v>5167</v>
      </c>
      <c r="C673" s="98">
        <f>VLOOKUP(A673,References!$C:$D,2,0)</f>
        <v>231.9597989949749</v>
      </c>
    </row>
    <row r="674" spans="1:3">
      <c r="A674" t="s">
        <v>2001</v>
      </c>
      <c r="B674" t="s">
        <v>5168</v>
      </c>
      <c r="C674" s="98">
        <f>VLOOKUP(A674,References!$C:$D,2,0)</f>
        <v>231.9597989949749</v>
      </c>
    </row>
    <row r="675" spans="1:3">
      <c r="A675" t="s">
        <v>2003</v>
      </c>
      <c r="B675" t="s">
        <v>2003</v>
      </c>
      <c r="C675" s="98">
        <f>VLOOKUP(A675,References!$C:$D,2,0)</f>
        <v>231.9597989949749</v>
      </c>
    </row>
    <row r="676" spans="1:3">
      <c r="A676" t="s">
        <v>2007</v>
      </c>
      <c r="B676" t="s">
        <v>2007</v>
      </c>
      <c r="C676" s="98">
        <f>VLOOKUP(A676,References!$C:$D,2,0)</f>
        <v>231.9597989949749</v>
      </c>
    </row>
    <row r="677" spans="1:3">
      <c r="A677" t="s">
        <v>2011</v>
      </c>
      <c r="B677" t="s">
        <v>2011</v>
      </c>
      <c r="C677" s="98">
        <f>VLOOKUP(A677,References!$C:$D,2,0)</f>
        <v>231.9597989949749</v>
      </c>
    </row>
    <row r="678" spans="1:3">
      <c r="A678" t="s">
        <v>2015</v>
      </c>
      <c r="B678" t="s">
        <v>2015</v>
      </c>
      <c r="C678" s="98">
        <f>VLOOKUP(A678,References!$C:$D,2,0)</f>
        <v>260.79096045197741</v>
      </c>
    </row>
    <row r="679" spans="1:3">
      <c r="A679" t="s">
        <v>2019</v>
      </c>
      <c r="B679" t="s">
        <v>2019</v>
      </c>
      <c r="C679" s="98">
        <f>VLOOKUP(A679,References!$C:$D,2,0)</f>
        <v>260.79096045197741</v>
      </c>
    </row>
    <row r="680" spans="1:3">
      <c r="A680" t="s">
        <v>2023</v>
      </c>
      <c r="B680" t="s">
        <v>2023</v>
      </c>
      <c r="C680" s="98">
        <f>VLOOKUP(A680,References!$C:$D,2,0)</f>
        <v>191.53526970954357</v>
      </c>
    </row>
    <row r="681" spans="1:3">
      <c r="A681" t="s">
        <v>2027</v>
      </c>
      <c r="B681" t="s">
        <v>2027</v>
      </c>
      <c r="C681" s="98">
        <f>VLOOKUP(A681,References!$C:$D,2,0)</f>
        <v>231.9597989949749</v>
      </c>
    </row>
    <row r="682" spans="1:3">
      <c r="A682" t="s">
        <v>2030</v>
      </c>
      <c r="B682" t="s">
        <v>5169</v>
      </c>
      <c r="C682" s="98">
        <f>VLOOKUP(A682,References!$C:$D,2,0)</f>
        <v>231.9597989949749</v>
      </c>
    </row>
    <row r="683" spans="1:3">
      <c r="A683" t="s">
        <v>2033</v>
      </c>
      <c r="B683" t="s">
        <v>2033</v>
      </c>
      <c r="C683" s="98">
        <f>VLOOKUP(A683,References!$C:$D,2,0)</f>
        <v>217.73584905660377</v>
      </c>
    </row>
    <row r="684" spans="1:3">
      <c r="A684" t="s">
        <v>2037</v>
      </c>
      <c r="B684" t="s">
        <v>2037</v>
      </c>
      <c r="C684" s="98">
        <f>VLOOKUP(A684,References!$C:$D,2,0)</f>
        <v>231.9597989949749</v>
      </c>
    </row>
    <row r="685" spans="1:3">
      <c r="A685" t="s">
        <v>2041</v>
      </c>
      <c r="B685" t="s">
        <v>2041</v>
      </c>
      <c r="C685" s="98">
        <f>VLOOKUP(A685,References!$C:$D,2,0)</f>
        <v>260.79096045197741</v>
      </c>
    </row>
    <row r="686" spans="1:3">
      <c r="A686" t="s">
        <v>2046</v>
      </c>
      <c r="B686" t="s">
        <v>2046</v>
      </c>
      <c r="C686" s="98">
        <f>VLOOKUP(A686,References!$C:$D,2,0)</f>
        <v>106.69781931464175</v>
      </c>
    </row>
    <row r="687" spans="1:3">
      <c r="A687" t="s">
        <v>2050</v>
      </c>
      <c r="B687" t="s">
        <v>2050</v>
      </c>
      <c r="C687" s="98">
        <f>VLOOKUP(A687,References!$C:$D,2,0)</f>
        <v>209.81818181818181</v>
      </c>
    </row>
    <row r="688" spans="1:3">
      <c r="A688" t="s">
        <v>2054</v>
      </c>
      <c r="B688" t="s">
        <v>2054</v>
      </c>
      <c r="C688" s="98">
        <f>VLOOKUP(A688,References!$C:$D,2,0)</f>
        <v>209.81818181818181</v>
      </c>
    </row>
    <row r="689" spans="1:3">
      <c r="A689" t="s">
        <v>2058</v>
      </c>
      <c r="B689" t="s">
        <v>2058</v>
      </c>
      <c r="C689" s="98">
        <f>VLOOKUP(A689,References!$C:$D,2,0)</f>
        <v>196.42553191489361</v>
      </c>
    </row>
    <row r="690" spans="1:3">
      <c r="A690" t="s">
        <v>2062</v>
      </c>
      <c r="B690" t="s">
        <v>2062</v>
      </c>
      <c r="C690" s="98">
        <f>VLOOKUP(A690,References!$C:$D,2,0)</f>
        <v>106.69781931464175</v>
      </c>
    </row>
    <row r="691" spans="1:3">
      <c r="A691" t="s">
        <v>2066</v>
      </c>
      <c r="B691" t="s">
        <v>2066</v>
      </c>
      <c r="C691" s="98">
        <f>VLOOKUP(A691,References!$C:$D,2,0)</f>
        <v>95.938375350140063</v>
      </c>
    </row>
    <row r="692" spans="1:3">
      <c r="A692" t="s">
        <v>2070</v>
      </c>
      <c r="B692" t="s">
        <v>2070</v>
      </c>
      <c r="C692" s="98">
        <f>VLOOKUP(A692,References!$C:$D,2,0)</f>
        <v>260.79096045197741</v>
      </c>
    </row>
    <row r="693" spans="1:3">
      <c r="A693" t="s">
        <v>2074</v>
      </c>
      <c r="B693" t="s">
        <v>2074</v>
      </c>
      <c r="C693" s="98">
        <f>VLOOKUP(A693,References!$C:$D,2,0)</f>
        <v>95.938375350140063</v>
      </c>
    </row>
    <row r="694" spans="1:3">
      <c r="A694" t="s">
        <v>2077</v>
      </c>
      <c r="B694" t="s">
        <v>5170</v>
      </c>
      <c r="C694" s="98">
        <f>VLOOKUP(A694,References!$C:$D,2,0)</f>
        <v>233.13131313131314</v>
      </c>
    </row>
    <row r="695" spans="1:3">
      <c r="A695" t="s">
        <v>2079</v>
      </c>
      <c r="B695" t="s">
        <v>2079</v>
      </c>
      <c r="C695" s="98">
        <f>VLOOKUP(A695,References!$C:$D,2,0)</f>
        <v>97.938375350140063</v>
      </c>
    </row>
    <row r="696" spans="1:3">
      <c r="A696" t="s">
        <v>2083</v>
      </c>
      <c r="B696" t="s">
        <v>2083</v>
      </c>
      <c r="C696" s="98">
        <f>VLOOKUP(A696,References!$C:$D,2,0)</f>
        <v>97.938375350140063</v>
      </c>
    </row>
    <row r="697" spans="1:3">
      <c r="A697" t="s">
        <v>2087</v>
      </c>
      <c r="B697" t="s">
        <v>5171</v>
      </c>
      <c r="C697" s="98">
        <f>VLOOKUP(A697,References!$C:$D,2,0)</f>
        <v>97.938375350140063</v>
      </c>
    </row>
    <row r="698" spans="1:3">
      <c r="A698" t="s">
        <v>2090</v>
      </c>
      <c r="B698" t="s">
        <v>2090</v>
      </c>
      <c r="C698" s="98">
        <f>VLOOKUP(A698,References!$C:$D,2,0)</f>
        <v>260.79096045197741</v>
      </c>
    </row>
    <row r="699" spans="1:3">
      <c r="A699" t="s">
        <v>2094</v>
      </c>
      <c r="B699" t="s">
        <v>2094</v>
      </c>
      <c r="C699" s="98">
        <f>VLOOKUP(A699,References!$C:$D,2,0)</f>
        <v>260.79096045197741</v>
      </c>
    </row>
    <row r="700" spans="1:3">
      <c r="A700" t="s">
        <v>2098</v>
      </c>
      <c r="B700" t="s">
        <v>2098</v>
      </c>
      <c r="C700" s="98">
        <f>VLOOKUP(A700,References!$C:$D,2,0)</f>
        <v>260.79096045197741</v>
      </c>
    </row>
    <row r="701" spans="1:3">
      <c r="A701" t="s">
        <v>2102</v>
      </c>
      <c r="B701" t="s">
        <v>5172</v>
      </c>
      <c r="C701" s="98">
        <f>VLOOKUP(A701,References!$C:$D,2,0)</f>
        <v>135.75539568345323</v>
      </c>
    </row>
    <row r="702" spans="1:3">
      <c r="A702" t="s">
        <v>2104</v>
      </c>
      <c r="B702" t="s">
        <v>2104</v>
      </c>
      <c r="C702" s="98">
        <f>VLOOKUP(A702,References!$C:$D,2,0)</f>
        <v>196.42553191489361</v>
      </c>
    </row>
    <row r="703" spans="1:3">
      <c r="A703" t="s">
        <v>2108</v>
      </c>
      <c r="B703" t="s">
        <v>2108</v>
      </c>
      <c r="C703" s="98">
        <f>VLOOKUP(A703,References!$C:$D,2,0)</f>
        <v>196.42553191489361</v>
      </c>
    </row>
    <row r="704" spans="1:3">
      <c r="A704" t="s">
        <v>2112</v>
      </c>
      <c r="B704" t="s">
        <v>2112</v>
      </c>
      <c r="C704" s="98">
        <f>VLOOKUP(A704,References!$C:$D,2,0)</f>
        <v>231.9597989949749</v>
      </c>
    </row>
    <row r="705" spans="1:3">
      <c r="A705" t="s">
        <v>2116</v>
      </c>
      <c r="B705" t="s">
        <v>2116</v>
      </c>
      <c r="C705" s="98">
        <f>VLOOKUP(A705,References!$C:$D,2,0)</f>
        <v>195.71428571428572</v>
      </c>
    </row>
    <row r="706" spans="1:3">
      <c r="A706" t="s">
        <v>2120</v>
      </c>
      <c r="B706" t="s">
        <v>2120</v>
      </c>
      <c r="C706" s="98">
        <f>VLOOKUP(A706,References!$C:$D,2,0)</f>
        <v>260.79096045197741</v>
      </c>
    </row>
    <row r="707" spans="1:3">
      <c r="A707" t="s">
        <v>2124</v>
      </c>
      <c r="B707" t="s">
        <v>2124</v>
      </c>
      <c r="C707" s="98">
        <f>VLOOKUP(A707,References!$C:$D,2,0)</f>
        <v>209.81818181818181</v>
      </c>
    </row>
    <row r="708" spans="1:3">
      <c r="A708" t="s">
        <v>2127</v>
      </c>
      <c r="B708" t="s">
        <v>2127</v>
      </c>
      <c r="C708" s="98">
        <f>VLOOKUP(A708,References!$C:$D,2,0)</f>
        <v>233.13131313131314</v>
      </c>
    </row>
    <row r="709" spans="1:3">
      <c r="A709" t="s">
        <v>2131</v>
      </c>
      <c r="B709" t="s">
        <v>2131</v>
      </c>
      <c r="C709" s="98">
        <f>VLOOKUP(A709,References!$C:$D,2,0)</f>
        <v>231.9597989949749</v>
      </c>
    </row>
    <row r="710" spans="1:3">
      <c r="A710" t="s">
        <v>2135</v>
      </c>
      <c r="B710" t="s">
        <v>5173</v>
      </c>
      <c r="C710" s="98">
        <f>VLOOKUP(A710,References!$C:$D,2,0)</f>
        <v>191.53526970954357</v>
      </c>
    </row>
    <row r="711" spans="1:3">
      <c r="A711" t="s">
        <v>2137</v>
      </c>
      <c r="B711" t="s">
        <v>2137</v>
      </c>
      <c r="C711" s="98">
        <f>VLOOKUP(A711,References!$C:$D,2,0)</f>
        <v>234.9597989949749</v>
      </c>
    </row>
    <row r="712" spans="1:3">
      <c r="A712" t="s">
        <v>2141</v>
      </c>
      <c r="B712" t="s">
        <v>2141</v>
      </c>
      <c r="C712" s="98">
        <f>VLOOKUP(A712,References!$C:$D,2,0)</f>
        <v>233.13131313131314</v>
      </c>
    </row>
    <row r="713" spans="1:3">
      <c r="A713" t="s">
        <v>2145</v>
      </c>
      <c r="B713" t="s">
        <v>2145</v>
      </c>
      <c r="C713" s="98">
        <f>VLOOKUP(A713,References!$C:$D,2,0)</f>
        <v>144.25</v>
      </c>
    </row>
    <row r="714" spans="1:3">
      <c r="A714" t="s">
        <v>2149</v>
      </c>
      <c r="B714" t="s">
        <v>2149</v>
      </c>
      <c r="C714" s="98">
        <f>VLOOKUP(A714,References!$C:$D,2,0)</f>
        <v>114.16666666666667</v>
      </c>
    </row>
    <row r="715" spans="1:3">
      <c r="A715" t="s">
        <v>2152</v>
      </c>
      <c r="B715" t="s">
        <v>2152</v>
      </c>
      <c r="C715" s="98">
        <f>VLOOKUP(A715,References!$C:$D,2,0)</f>
        <v>209.81818181818181</v>
      </c>
    </row>
    <row r="716" spans="1:3">
      <c r="A716" t="s">
        <v>2156</v>
      </c>
      <c r="B716" t="s">
        <v>2156</v>
      </c>
      <c r="C716" s="98">
        <f>VLOOKUP(A716,References!$C:$D,2,0)</f>
        <v>234.31472081218274</v>
      </c>
    </row>
    <row r="717" spans="1:3">
      <c r="A717" t="s">
        <v>2160</v>
      </c>
      <c r="B717" t="s">
        <v>2160</v>
      </c>
      <c r="C717" s="98">
        <f>VLOOKUP(A717,References!$C:$D,2,0)</f>
        <v>233.13131313131314</v>
      </c>
    </row>
    <row r="718" spans="1:3">
      <c r="A718" t="s">
        <v>2164</v>
      </c>
      <c r="B718" t="s">
        <v>2164</v>
      </c>
      <c r="C718" s="98">
        <f>VLOOKUP(A718,References!$C:$D,2,0)</f>
        <v>95.938375350140063</v>
      </c>
    </row>
    <row r="719" spans="1:3">
      <c r="A719" t="s">
        <v>2168</v>
      </c>
      <c r="B719" t="s">
        <v>2168</v>
      </c>
      <c r="C719" s="98">
        <f>VLOOKUP(A719,References!$C:$D,2,0)</f>
        <v>196.42553191489361</v>
      </c>
    </row>
    <row r="720" spans="1:3">
      <c r="A720" t="s">
        <v>2172</v>
      </c>
      <c r="B720" t="s">
        <v>2172</v>
      </c>
      <c r="C720" s="98">
        <f>VLOOKUP(A720,References!$C:$D,2,0)</f>
        <v>234.31472081218274</v>
      </c>
    </row>
    <row r="721" spans="1:3">
      <c r="A721" t="s">
        <v>2176</v>
      </c>
      <c r="B721" t="s">
        <v>2176</v>
      </c>
      <c r="C721" s="98">
        <f>VLOOKUP(A721,References!$C:$D,2,0)</f>
        <v>188.40816326530611</v>
      </c>
    </row>
    <row r="722" spans="1:3">
      <c r="A722" t="s">
        <v>2180</v>
      </c>
      <c r="B722" t="s">
        <v>2180</v>
      </c>
      <c r="C722" s="98">
        <f>VLOOKUP(A722,References!$C:$D,2,0)</f>
        <v>233.13131313131314</v>
      </c>
    </row>
    <row r="723" spans="1:3">
      <c r="A723" t="s">
        <v>2184</v>
      </c>
      <c r="B723" t="s">
        <v>2184</v>
      </c>
      <c r="C723" s="98">
        <f>VLOOKUP(A723,References!$C:$D,2,0)</f>
        <v>307.73333333333335</v>
      </c>
    </row>
    <row r="724" spans="1:3">
      <c r="A724" t="s">
        <v>2188</v>
      </c>
      <c r="B724" t="s">
        <v>2188</v>
      </c>
      <c r="C724" s="98">
        <f>VLOOKUP(A724,References!$C:$D,2,0)</f>
        <v>135.75539568345323</v>
      </c>
    </row>
    <row r="725" spans="1:3">
      <c r="A725" t="s">
        <v>3106</v>
      </c>
      <c r="B725" t="s">
        <v>3106</v>
      </c>
      <c r="C725" s="98">
        <f>VLOOKUP(A725,References!$C:$D,2,0)</f>
        <v>234.9597989949749</v>
      </c>
    </row>
    <row r="726" spans="1:3">
      <c r="A726" t="s">
        <v>2195</v>
      </c>
      <c r="B726" t="s">
        <v>2195</v>
      </c>
      <c r="C726" s="98">
        <f>VLOOKUP(A726,References!$C:$D,2,0)</f>
        <v>190.74380165289256</v>
      </c>
    </row>
    <row r="727" spans="1:3">
      <c r="A727" t="s">
        <v>2199</v>
      </c>
      <c r="B727" t="s">
        <v>2199</v>
      </c>
      <c r="C727" s="98">
        <f>VLOOKUP(A727,References!$C:$D,2,0)</f>
        <v>190.74380165289256</v>
      </c>
    </row>
    <row r="728" spans="1:3">
      <c r="A728" t="s">
        <v>1645</v>
      </c>
      <c r="B728" t="s">
        <v>1645</v>
      </c>
      <c r="C728" s="98">
        <f>VLOOKUP(A728,References!$C:$D,2,0)</f>
        <v>231.9597989949749</v>
      </c>
    </row>
    <row r="729" spans="1:3">
      <c r="A729" t="s">
        <v>2204</v>
      </c>
      <c r="B729" t="s">
        <v>5174</v>
      </c>
      <c r="C729" s="98">
        <f>VLOOKUP(A729,References!$C:$D,2,0)</f>
        <v>231.9597989949749</v>
      </c>
    </row>
    <row r="730" spans="1:3">
      <c r="A730" t="s">
        <v>2206</v>
      </c>
      <c r="B730" t="s">
        <v>2206</v>
      </c>
      <c r="C730" s="98">
        <f>VLOOKUP(A730,References!$C:$D,2,0)</f>
        <v>144.25</v>
      </c>
    </row>
    <row r="731" spans="1:3">
      <c r="A731" t="s">
        <v>2210</v>
      </c>
      <c r="B731" t="s">
        <v>2210</v>
      </c>
      <c r="C731" s="98">
        <f>VLOOKUP(A731,References!$C:$D,2,0)</f>
        <v>144.25</v>
      </c>
    </row>
    <row r="732" spans="1:3">
      <c r="A732" t="s">
        <v>2214</v>
      </c>
      <c r="B732" t="s">
        <v>5175</v>
      </c>
      <c r="C732" s="98">
        <f>VLOOKUP(A732,References!$C:$D,2,0)</f>
        <v>191.53526970954357</v>
      </c>
    </row>
    <row r="733" spans="1:3">
      <c r="A733" t="s">
        <v>2216</v>
      </c>
      <c r="B733" t="s">
        <v>2216</v>
      </c>
      <c r="C733" s="98">
        <f>VLOOKUP(A733,References!$C:$D,2,0)</f>
        <v>114.16666666666667</v>
      </c>
    </row>
    <row r="734" spans="1:3">
      <c r="A734" t="s">
        <v>2219</v>
      </c>
      <c r="B734" t="s">
        <v>2219</v>
      </c>
      <c r="C734" s="98">
        <f>VLOOKUP(A734,References!$C:$D,2,0)</f>
        <v>188.40816326530611</v>
      </c>
    </row>
    <row r="735" spans="1:3">
      <c r="A735" t="s">
        <v>2223</v>
      </c>
      <c r="B735" t="s">
        <v>2223</v>
      </c>
      <c r="C735" s="98">
        <f>VLOOKUP(A735,References!$C:$D,2,0)</f>
        <v>188.40816326530611</v>
      </c>
    </row>
    <row r="736" spans="1:3">
      <c r="A736" t="s">
        <v>2227</v>
      </c>
      <c r="B736" t="s">
        <v>2227</v>
      </c>
      <c r="C736" s="98">
        <f>VLOOKUP(A736,References!$C:$D,2,0)</f>
        <v>231.9597989949749</v>
      </c>
    </row>
    <row r="737" spans="1:3">
      <c r="A737" t="s">
        <v>2231</v>
      </c>
      <c r="B737" t="s">
        <v>2231</v>
      </c>
      <c r="C737" s="98">
        <f>VLOOKUP(A737,References!$C:$D,2,0)</f>
        <v>209.81818181818181</v>
      </c>
    </row>
    <row r="738" spans="1:3">
      <c r="A738" t="s">
        <v>2235</v>
      </c>
      <c r="B738" t="s">
        <v>2235</v>
      </c>
      <c r="C738" s="98">
        <f>VLOOKUP(A738,References!$C:$D,2,0)</f>
        <v>192.33333333333334</v>
      </c>
    </row>
    <row r="739" spans="1:3">
      <c r="A739" t="s">
        <v>2239</v>
      </c>
      <c r="B739" t="s">
        <v>2239</v>
      </c>
      <c r="C739" s="98">
        <f>VLOOKUP(A739,References!$C:$D,2,0)</f>
        <v>190.74380165289256</v>
      </c>
    </row>
    <row r="740" spans="1:3">
      <c r="A740" t="s">
        <v>2243</v>
      </c>
      <c r="B740" t="s">
        <v>2243</v>
      </c>
      <c r="C740" s="98">
        <f>VLOOKUP(A740,References!$C:$D,2,0)</f>
        <v>95.938375350140063</v>
      </c>
    </row>
    <row r="741" spans="1:3">
      <c r="A741" t="s">
        <v>2247</v>
      </c>
      <c r="B741" t="s">
        <v>2247</v>
      </c>
      <c r="C741" s="98">
        <f>VLOOKUP(A741,References!$C:$D,2,0)</f>
        <v>192.33333333333334</v>
      </c>
    </row>
    <row r="742" spans="1:3">
      <c r="A742" t="s">
        <v>2251</v>
      </c>
      <c r="B742" t="s">
        <v>2251</v>
      </c>
      <c r="C742" s="98">
        <f>VLOOKUP(A742,References!$C:$D,2,0)</f>
        <v>231.9597989949749</v>
      </c>
    </row>
    <row r="743" spans="1:3">
      <c r="A743" t="s">
        <v>2254</v>
      </c>
      <c r="B743" t="s">
        <v>5176</v>
      </c>
      <c r="C743" s="98">
        <f>VLOOKUP(A743,References!$C:$D,2,0)</f>
        <v>231.9597989949749</v>
      </c>
    </row>
    <row r="744" spans="1:3">
      <c r="A744" t="s">
        <v>2256</v>
      </c>
      <c r="B744" t="s">
        <v>5177</v>
      </c>
      <c r="C744" s="98">
        <f>VLOOKUP(A744,References!$C:$D,2,0)</f>
        <v>231.9597989949749</v>
      </c>
    </row>
    <row r="745" spans="1:3">
      <c r="A745" t="s">
        <v>2258</v>
      </c>
      <c r="B745" t="s">
        <v>5178</v>
      </c>
      <c r="C745" s="98">
        <f>VLOOKUP(A745,References!$C:$D,2,0)</f>
        <v>191.53526970954357</v>
      </c>
    </row>
    <row r="746" spans="1:3">
      <c r="A746" t="s">
        <v>2262</v>
      </c>
      <c r="B746" t="s">
        <v>2262</v>
      </c>
      <c r="C746" s="98">
        <f>VLOOKUP(A746,References!$C:$D,2,0)</f>
        <v>233.13131313131314</v>
      </c>
    </row>
    <row r="747" spans="1:3">
      <c r="A747" t="s">
        <v>2266</v>
      </c>
      <c r="B747" t="s">
        <v>2266</v>
      </c>
      <c r="C747" s="98">
        <f>VLOOKUP(A747,References!$C:$D,2,0)</f>
        <v>196.42553191489361</v>
      </c>
    </row>
    <row r="748" spans="1:3">
      <c r="A748" t="s">
        <v>2270</v>
      </c>
      <c r="B748" t="s">
        <v>5179</v>
      </c>
      <c r="C748" s="98">
        <f>VLOOKUP(A748,References!$C:$D,2,0)</f>
        <v>233.13131313131314</v>
      </c>
    </row>
    <row r="749" spans="1:3">
      <c r="A749" t="s">
        <v>2272</v>
      </c>
      <c r="B749" t="s">
        <v>2272</v>
      </c>
      <c r="C749" s="98">
        <f>VLOOKUP(A749,References!$C:$D,2,0)</f>
        <v>231.9597989949749</v>
      </c>
    </row>
    <row r="750" spans="1:3">
      <c r="A750" t="s">
        <v>2276</v>
      </c>
      <c r="B750" t="s">
        <v>2276</v>
      </c>
      <c r="C750" s="98">
        <f>VLOOKUP(A750,References!$C:$D,2,0)</f>
        <v>231.9597989949749</v>
      </c>
    </row>
    <row r="751" spans="1:3">
      <c r="A751" t="s">
        <v>2280</v>
      </c>
      <c r="B751" t="s">
        <v>2280</v>
      </c>
      <c r="C751" s="98">
        <f>VLOOKUP(A751,References!$C:$D,2,0)</f>
        <v>191.53526970954357</v>
      </c>
    </row>
    <row r="752" spans="1:3">
      <c r="A752" t="s">
        <v>2284</v>
      </c>
      <c r="B752" t="s">
        <v>2284</v>
      </c>
      <c r="C752" s="98">
        <f>VLOOKUP(A752,References!$C:$D,2,0)</f>
        <v>233.13131313131314</v>
      </c>
    </row>
    <row r="753" spans="1:3">
      <c r="A753" t="s">
        <v>2288</v>
      </c>
      <c r="B753" t="s">
        <v>2288</v>
      </c>
      <c r="C753" s="98">
        <f>VLOOKUP(A753,References!$C:$D,2,0)</f>
        <v>95.938375350140063</v>
      </c>
    </row>
    <row r="754" spans="1:3">
      <c r="A754" t="s">
        <v>2292</v>
      </c>
      <c r="B754" t="s">
        <v>2292</v>
      </c>
      <c r="C754" s="98">
        <f>VLOOKUP(A754,References!$C:$D,2,0)</f>
        <v>95.938375350140063</v>
      </c>
    </row>
    <row r="755" spans="1:3">
      <c r="A755" t="s">
        <v>2296</v>
      </c>
      <c r="B755" t="s">
        <v>2296</v>
      </c>
      <c r="C755" s="98">
        <f>VLOOKUP(A755,References!$C:$D,2,0)</f>
        <v>97.938375350140063</v>
      </c>
    </row>
    <row r="756" spans="1:3">
      <c r="A756" t="s">
        <v>2300</v>
      </c>
      <c r="B756" t="s">
        <v>2300</v>
      </c>
      <c r="C756" s="98">
        <f>VLOOKUP(A756,References!$C:$D,2,0)</f>
        <v>195.71428571428572</v>
      </c>
    </row>
    <row r="757" spans="1:3">
      <c r="A757" t="s">
        <v>2303</v>
      </c>
      <c r="B757" t="s">
        <v>5180</v>
      </c>
      <c r="C757" s="98">
        <f>VLOOKUP(A757,References!$C:$D,2,0)</f>
        <v>97.938375350140063</v>
      </c>
    </row>
    <row r="758" spans="1:3">
      <c r="A758" t="s">
        <v>2305</v>
      </c>
      <c r="B758" t="s">
        <v>2305</v>
      </c>
      <c r="C758" s="98">
        <f>VLOOKUP(A758,References!$C:$D,2,0)</f>
        <v>195.71428571428572</v>
      </c>
    </row>
    <row r="759" spans="1:3">
      <c r="A759" t="s">
        <v>2309</v>
      </c>
      <c r="B759" t="s">
        <v>2309</v>
      </c>
      <c r="C759" s="98">
        <f>VLOOKUP(A759,References!$C:$D,2,0)</f>
        <v>191.53526970954357</v>
      </c>
    </row>
    <row r="760" spans="1:3">
      <c r="A760" t="s">
        <v>2313</v>
      </c>
      <c r="B760" t="s">
        <v>2313</v>
      </c>
      <c r="C760" s="98">
        <f>VLOOKUP(A760,References!$C:$D,2,0)</f>
        <v>192.33333333333334</v>
      </c>
    </row>
    <row r="761" spans="1:3">
      <c r="A761" t="s">
        <v>2317</v>
      </c>
      <c r="B761" t="s">
        <v>2317</v>
      </c>
      <c r="C761" s="98">
        <f>VLOOKUP(A761,References!$C:$D,2,0)</f>
        <v>233.13131313131314</v>
      </c>
    </row>
    <row r="762" spans="1:3">
      <c r="A762" t="s">
        <v>2321</v>
      </c>
      <c r="B762" t="s">
        <v>2321</v>
      </c>
      <c r="C762" s="98">
        <f>VLOOKUP(A762,References!$C:$D,2,0)</f>
        <v>196.42553191489361</v>
      </c>
    </row>
    <row r="763" spans="1:3">
      <c r="A763" t="s">
        <v>2325</v>
      </c>
      <c r="B763" t="s">
        <v>2325</v>
      </c>
      <c r="C763" s="98">
        <f>VLOOKUP(A763,References!$C:$D,2,0)</f>
        <v>196.42553191489361</v>
      </c>
    </row>
    <row r="764" spans="1:3">
      <c r="A764" t="s">
        <v>2328</v>
      </c>
      <c r="B764" t="s">
        <v>2328</v>
      </c>
      <c r="C764" s="98">
        <f>VLOOKUP(A764,References!$C:$D,2,0)</f>
        <v>234.31472081218274</v>
      </c>
    </row>
    <row r="765" spans="1:3">
      <c r="A765" t="s">
        <v>2331</v>
      </c>
      <c r="B765" t="s">
        <v>2331</v>
      </c>
      <c r="C765" s="98">
        <f>VLOOKUP(A765,References!$C:$D,2,0)</f>
        <v>192.33333333333334</v>
      </c>
    </row>
    <row r="766" spans="1:3">
      <c r="A766" t="s">
        <v>2335</v>
      </c>
      <c r="B766" t="s">
        <v>2335</v>
      </c>
      <c r="C766" s="98">
        <f>VLOOKUP(A766,References!$C:$D,2,0)</f>
        <v>234.31472081218274</v>
      </c>
    </row>
    <row r="767" spans="1:3">
      <c r="A767" t="s">
        <v>2338</v>
      </c>
      <c r="B767" t="s">
        <v>2338</v>
      </c>
      <c r="C767" s="98">
        <f>VLOOKUP(A767,References!$C:$D,2,0)</f>
        <v>231.9597989949749</v>
      </c>
    </row>
    <row r="768" spans="1:3">
      <c r="A768" t="s">
        <v>2342</v>
      </c>
      <c r="B768" t="s">
        <v>2342</v>
      </c>
      <c r="C768" s="98">
        <f>VLOOKUP(A768,References!$C:$D,2,0)</f>
        <v>231.9597989949749</v>
      </c>
    </row>
    <row r="769" spans="1:3">
      <c r="A769" t="s">
        <v>2346</v>
      </c>
      <c r="B769" t="s">
        <v>2346</v>
      </c>
      <c r="C769" s="98">
        <f>VLOOKUP(A769,References!$C:$D,2,0)</f>
        <v>231.9597989949749</v>
      </c>
    </row>
    <row r="770" spans="1:3">
      <c r="A770" t="s">
        <v>2350</v>
      </c>
      <c r="B770" t="s">
        <v>2350</v>
      </c>
      <c r="C770" s="98">
        <f>VLOOKUP(A770,References!$C:$D,2,0)</f>
        <v>135.75539568345323</v>
      </c>
    </row>
    <row r="771" spans="1:3">
      <c r="A771" t="s">
        <v>2354</v>
      </c>
      <c r="B771" t="s">
        <v>2354</v>
      </c>
      <c r="C771" s="98">
        <f>VLOOKUP(A771,References!$C:$D,2,0)</f>
        <v>260.79096045197741</v>
      </c>
    </row>
    <row r="772" spans="1:3">
      <c r="A772" t="s">
        <v>2358</v>
      </c>
      <c r="B772" t="s">
        <v>2358</v>
      </c>
      <c r="C772" s="98">
        <f>VLOOKUP(A772,References!$C:$D,2,0)</f>
        <v>231.9597989949749</v>
      </c>
    </row>
    <row r="773" spans="1:3">
      <c r="A773" t="s">
        <v>2362</v>
      </c>
      <c r="B773" t="s">
        <v>2362</v>
      </c>
      <c r="C773" s="98">
        <f>VLOOKUP(A773,References!$C:$D,2,0)</f>
        <v>95.938375350140063</v>
      </c>
    </row>
    <row r="774" spans="1:3">
      <c r="A774" t="s">
        <v>2366</v>
      </c>
      <c r="B774" t="s">
        <v>2366</v>
      </c>
      <c r="C774" s="98">
        <f>VLOOKUP(A774,References!$C:$D,2,0)</f>
        <v>95.938375350140063</v>
      </c>
    </row>
    <row r="775" spans="1:3">
      <c r="A775" t="s">
        <v>2370</v>
      </c>
      <c r="B775" t="s">
        <v>2370</v>
      </c>
      <c r="C775" s="98">
        <f>VLOOKUP(A775,References!$C:$D,2,0)</f>
        <v>95.938375350140063</v>
      </c>
    </row>
    <row r="776" spans="1:3">
      <c r="A776" t="s">
        <v>2374</v>
      </c>
      <c r="B776" t="s">
        <v>2374</v>
      </c>
      <c r="C776" s="98">
        <f>VLOOKUP(A776,References!$C:$D,2,0)</f>
        <v>95.938375350140063</v>
      </c>
    </row>
    <row r="777" spans="1:3">
      <c r="A777" t="s">
        <v>2378</v>
      </c>
      <c r="B777" t="s">
        <v>2378</v>
      </c>
      <c r="C777" s="98">
        <f>VLOOKUP(A777,References!$C:$D,2,0)</f>
        <v>95.938375350140063</v>
      </c>
    </row>
    <row r="778" spans="1:3">
      <c r="A778" t="s">
        <v>2382</v>
      </c>
      <c r="B778" t="s">
        <v>2382</v>
      </c>
      <c r="C778" s="98">
        <f>VLOOKUP(A778,References!$C:$D,2,0)</f>
        <v>233.13131313131314</v>
      </c>
    </row>
    <row r="779" spans="1:3">
      <c r="A779" t="s">
        <v>2385</v>
      </c>
      <c r="B779" t="s">
        <v>2385</v>
      </c>
      <c r="C779" s="98">
        <f>VLOOKUP(A779,References!$C:$D,2,0)</f>
        <v>307.73333333333335</v>
      </c>
    </row>
    <row r="780" spans="1:3">
      <c r="A780" t="s">
        <v>2389</v>
      </c>
      <c r="B780" t="s">
        <v>2389</v>
      </c>
      <c r="C780" s="98">
        <f>VLOOKUP(A780,References!$C:$D,2,0)</f>
        <v>260.79096045197741</v>
      </c>
    </row>
    <row r="781" spans="1:3">
      <c r="A781" t="s">
        <v>2393</v>
      </c>
      <c r="B781" t="s">
        <v>2393</v>
      </c>
      <c r="C781" s="98">
        <f>VLOOKUP(A781,References!$C:$D,2,0)</f>
        <v>260.79096045197741</v>
      </c>
    </row>
    <row r="782" spans="1:3">
      <c r="A782" t="s">
        <v>2396</v>
      </c>
      <c r="B782" t="s">
        <v>5181</v>
      </c>
      <c r="C782" s="98">
        <f>VLOOKUP(A782,References!$C:$D,2,0)</f>
        <v>231.9597989949749</v>
      </c>
    </row>
    <row r="783" spans="1:3">
      <c r="A783" t="s">
        <v>2398</v>
      </c>
      <c r="B783" t="s">
        <v>2398</v>
      </c>
      <c r="C783" s="98">
        <f>VLOOKUP(A783,References!$C:$D,2,0)</f>
        <v>106.69781931464175</v>
      </c>
    </row>
    <row r="784" spans="1:3">
      <c r="A784" t="s">
        <v>2401</v>
      </c>
      <c r="B784" t="s">
        <v>2401</v>
      </c>
      <c r="C784" s="98">
        <f>VLOOKUP(A784,References!$C:$D,2,0)</f>
        <v>106.69781931464175</v>
      </c>
    </row>
    <row r="785" spans="1:3">
      <c r="A785" t="s">
        <v>2404</v>
      </c>
      <c r="B785" t="s">
        <v>2404</v>
      </c>
      <c r="C785" s="98">
        <f>VLOOKUP(A785,References!$C:$D,2,0)</f>
        <v>231.2092403554291</v>
      </c>
    </row>
    <row r="786" spans="1:3">
      <c r="A786" t="s">
        <v>2407</v>
      </c>
      <c r="B786" t="s">
        <v>2407</v>
      </c>
      <c r="C786" s="98">
        <f>VLOOKUP(A786,References!$C:$D,2,0)</f>
        <v>260.79096045197741</v>
      </c>
    </row>
    <row r="787" spans="1:3">
      <c r="A787" t="s">
        <v>2411</v>
      </c>
      <c r="B787" t="s">
        <v>2411</v>
      </c>
      <c r="C787" s="98">
        <f>VLOOKUP(A787,References!$C:$D,2,0)</f>
        <v>192.33333333333334</v>
      </c>
    </row>
    <row r="788" spans="1:3">
      <c r="A788" t="s">
        <v>2414</v>
      </c>
      <c r="B788" t="s">
        <v>2414</v>
      </c>
      <c r="C788" s="98">
        <f>VLOOKUP(A788,References!$C:$D,2,0)</f>
        <v>126.85185185185185</v>
      </c>
    </row>
    <row r="789" spans="1:3">
      <c r="A789" t="s">
        <v>2418</v>
      </c>
      <c r="B789" t="s">
        <v>2418</v>
      </c>
      <c r="C789" s="98">
        <f>VLOOKUP(A789,References!$C:$D,2,0)</f>
        <v>97.938375350140063</v>
      </c>
    </row>
    <row r="790" spans="1:3">
      <c r="A790" t="s">
        <v>2421</v>
      </c>
      <c r="B790" t="s">
        <v>5182</v>
      </c>
      <c r="C790" s="98">
        <f>VLOOKUP(A790,References!$C:$D,2,0)</f>
        <v>231.9597989949749</v>
      </c>
    </row>
    <row r="791" spans="1:3">
      <c r="A791" t="s">
        <v>2425</v>
      </c>
      <c r="B791" t="s">
        <v>2425</v>
      </c>
      <c r="C791" s="98">
        <f>VLOOKUP(A791,References!$C:$D,2,0)</f>
        <v>190.74380165289256</v>
      </c>
    </row>
    <row r="792" spans="1:3">
      <c r="A792" t="s">
        <v>2429</v>
      </c>
      <c r="B792" t="s">
        <v>2429</v>
      </c>
      <c r="C792" s="98">
        <f>VLOOKUP(A792,References!$C:$D,2,0)</f>
        <v>192.33333333333334</v>
      </c>
    </row>
    <row r="793" spans="1:3">
      <c r="A793" t="s">
        <v>2433</v>
      </c>
      <c r="B793" t="s">
        <v>2433</v>
      </c>
      <c r="C793" s="98">
        <f>VLOOKUP(A793,References!$C:$D,2,0)</f>
        <v>192.33333333333334</v>
      </c>
    </row>
    <row r="794" spans="1:3">
      <c r="A794" t="s">
        <v>2436</v>
      </c>
      <c r="B794" t="s">
        <v>2436</v>
      </c>
      <c r="C794" s="98">
        <f>VLOOKUP(A794,References!$C:$D,2,0)</f>
        <v>144.25</v>
      </c>
    </row>
    <row r="795" spans="1:3">
      <c r="A795" t="s">
        <v>2439</v>
      </c>
      <c r="B795" t="s">
        <v>5183</v>
      </c>
      <c r="C795" s="98">
        <f>VLOOKUP(A795,References!$C:$D,2,0)</f>
        <v>135.75539568345323</v>
      </c>
    </row>
    <row r="796" spans="1:3">
      <c r="A796" t="s">
        <v>1618</v>
      </c>
      <c r="B796" t="s">
        <v>1618</v>
      </c>
      <c r="C796" s="98">
        <f>VLOOKUP(A796,References!$C:$D,2,0)</f>
        <v>231.9597989949749</v>
      </c>
    </row>
    <row r="797" spans="1:3">
      <c r="A797" t="s">
        <v>2443</v>
      </c>
      <c r="B797" t="s">
        <v>2443</v>
      </c>
      <c r="C797" s="98">
        <f>VLOOKUP(A797,References!$C:$D,2,0)</f>
        <v>234.9597989949749</v>
      </c>
    </row>
    <row r="798" spans="1:3">
      <c r="A798" t="s">
        <v>2447</v>
      </c>
      <c r="B798" t="s">
        <v>2447</v>
      </c>
      <c r="C798" s="98">
        <f>VLOOKUP(A798,References!$C:$D,2,0)</f>
        <v>231.2092403554291</v>
      </c>
    </row>
    <row r="799" spans="1:3">
      <c r="A799" t="s">
        <v>2451</v>
      </c>
      <c r="B799" t="s">
        <v>2451</v>
      </c>
      <c r="C799" s="98">
        <f>VLOOKUP(A799,References!$C:$D,2,0)</f>
        <v>231.9597989949749</v>
      </c>
    </row>
    <row r="800" spans="1:3">
      <c r="A800" t="s">
        <v>1765</v>
      </c>
      <c r="B800" t="s">
        <v>1765</v>
      </c>
      <c r="C800" s="98">
        <f>VLOOKUP(A800,References!$C:$D,2,0)</f>
        <v>190.74380165289256</v>
      </c>
    </row>
    <row r="801" spans="1:3">
      <c r="A801" t="s">
        <v>2457</v>
      </c>
      <c r="B801" t="s">
        <v>2457</v>
      </c>
      <c r="C801" s="98">
        <f>VLOOKUP(A801,References!$C:$D,2,0)</f>
        <v>97.938375350140063</v>
      </c>
    </row>
    <row r="802" spans="1:3">
      <c r="A802" t="s">
        <v>1616</v>
      </c>
      <c r="B802" t="s">
        <v>5184</v>
      </c>
      <c r="C802" s="98">
        <f>VLOOKUP(A802,References!$C:$D,2,0)</f>
        <v>231.9597989949749</v>
      </c>
    </row>
    <row r="803" spans="1:3">
      <c r="A803" t="s">
        <v>2461</v>
      </c>
      <c r="B803" t="s">
        <v>5185</v>
      </c>
      <c r="C803" s="98">
        <f>VLOOKUP(A803,References!$C:$D,2,0)</f>
        <v>188.40816326530611</v>
      </c>
    </row>
    <row r="804" spans="1:3">
      <c r="A804" t="s">
        <v>2465</v>
      </c>
      <c r="B804" t="s">
        <v>2465</v>
      </c>
      <c r="C804" s="98">
        <f>VLOOKUP(A804,References!$C:$D,2,0)</f>
        <v>231.9597989949749</v>
      </c>
    </row>
    <row r="805" spans="1:3">
      <c r="A805" t="s">
        <v>2468</v>
      </c>
      <c r="B805" t="s">
        <v>5186</v>
      </c>
      <c r="C805" s="98">
        <f>VLOOKUP(A805,References!$C:$D,2,0)</f>
        <v>191.53526970954357</v>
      </c>
    </row>
    <row r="806" spans="1:3">
      <c r="A806" t="s">
        <v>2470</v>
      </c>
      <c r="B806" t="s">
        <v>2470</v>
      </c>
      <c r="C806" s="98">
        <f>VLOOKUP(A806,References!$C:$D,2,0)</f>
        <v>231.9597989949749</v>
      </c>
    </row>
    <row r="807" spans="1:3">
      <c r="A807" t="s">
        <v>2474</v>
      </c>
      <c r="B807" t="s">
        <v>2474</v>
      </c>
      <c r="C807" s="98">
        <f>VLOOKUP(A807,References!$C:$D,2,0)</f>
        <v>135.75539568345323</v>
      </c>
    </row>
    <row r="808" spans="1:3">
      <c r="A808" t="s">
        <v>2478</v>
      </c>
      <c r="B808" t="s">
        <v>2478</v>
      </c>
      <c r="C808" s="98">
        <f>VLOOKUP(A808,References!$C:$D,2,0)</f>
        <v>209.81818181818181</v>
      </c>
    </row>
    <row r="809" spans="1:3">
      <c r="A809" t="s">
        <v>2481</v>
      </c>
      <c r="B809" t="s">
        <v>2481</v>
      </c>
      <c r="C809" s="98">
        <f>VLOOKUP(A809,References!$C:$D,2,0)</f>
        <v>195.71428571428572</v>
      </c>
    </row>
    <row r="810" spans="1:3">
      <c r="A810" t="s">
        <v>1701</v>
      </c>
      <c r="B810" t="s">
        <v>1701</v>
      </c>
      <c r="C810" s="98">
        <f>VLOOKUP(A810,References!$C:$D,2,0)</f>
        <v>260.79096045197741</v>
      </c>
    </row>
    <row r="811" spans="1:3">
      <c r="A811" t="s">
        <v>1617</v>
      </c>
      <c r="B811" t="s">
        <v>5187</v>
      </c>
      <c r="C811" s="98">
        <f>VLOOKUP(A811,References!$C:$D,2,0)</f>
        <v>231.9597989949749</v>
      </c>
    </row>
    <row r="812" spans="1:3">
      <c r="A812" t="s">
        <v>2487</v>
      </c>
      <c r="B812" t="s">
        <v>2487</v>
      </c>
      <c r="C812" s="98">
        <f>VLOOKUP(A812,References!$C:$D,2,0)</f>
        <v>234.31472081218274</v>
      </c>
    </row>
    <row r="813" spans="1:3">
      <c r="A813" t="s">
        <v>2490</v>
      </c>
      <c r="B813" t="s">
        <v>2490</v>
      </c>
      <c r="C813" s="98">
        <f>VLOOKUP(A813,References!$C:$D,2,0)</f>
        <v>231.2092403554291</v>
      </c>
    </row>
    <row r="814" spans="1:3">
      <c r="A814" t="s">
        <v>2493</v>
      </c>
      <c r="B814" t="s">
        <v>2493</v>
      </c>
      <c r="C814" s="98">
        <f>VLOOKUP(A814,References!$C:$D,2,0)</f>
        <v>231.9597989949749</v>
      </c>
    </row>
    <row r="815" spans="1:3">
      <c r="A815" t="s">
        <v>2496</v>
      </c>
      <c r="B815" t="s">
        <v>2496</v>
      </c>
      <c r="C815" s="98">
        <f>VLOOKUP(A815,References!$C:$D,2,0)</f>
        <v>234.9597989949749</v>
      </c>
    </row>
    <row r="816" spans="1:3">
      <c r="A816" t="s">
        <v>2499</v>
      </c>
      <c r="B816" t="s">
        <v>2499</v>
      </c>
      <c r="C816" s="98">
        <f>VLOOKUP(A816,References!$C:$D,2,0)</f>
        <v>231.9597989949749</v>
      </c>
    </row>
    <row r="817" spans="1:3">
      <c r="A817" t="s">
        <v>2502</v>
      </c>
      <c r="B817" t="s">
        <v>2502</v>
      </c>
      <c r="C817" s="98">
        <f>VLOOKUP(A817,References!$C:$D,2,0)</f>
        <v>188.40816326530611</v>
      </c>
    </row>
    <row r="818" spans="1:3">
      <c r="A818" t="s">
        <v>2505</v>
      </c>
      <c r="B818" t="s">
        <v>2505</v>
      </c>
      <c r="C818" s="98">
        <f>VLOOKUP(A818,References!$C:$D,2,0)</f>
        <v>231.9597989949749</v>
      </c>
    </row>
    <row r="819" spans="1:3">
      <c r="A819" t="s">
        <v>2509</v>
      </c>
      <c r="B819" t="s">
        <v>2509</v>
      </c>
      <c r="C819" s="98">
        <f>VLOOKUP(A819,References!$C:$D,2,0)</f>
        <v>234.31472081218274</v>
      </c>
    </row>
    <row r="820" spans="1:3">
      <c r="A820" t="s">
        <v>2087</v>
      </c>
      <c r="B820" t="s">
        <v>5188</v>
      </c>
      <c r="C820" s="98">
        <f>VLOOKUP(A820,References!$C:$D,2,0)</f>
        <v>97.938375350140063</v>
      </c>
    </row>
    <row r="821" spans="1:3">
      <c r="A821" t="s">
        <v>2515</v>
      </c>
      <c r="B821" t="s">
        <v>2515</v>
      </c>
      <c r="C821" s="98">
        <f>VLOOKUP(A821,References!$C:$D,2,0)</f>
        <v>307.73333333333335</v>
      </c>
    </row>
    <row r="822" spans="1:3">
      <c r="A822" t="s">
        <v>2518</v>
      </c>
      <c r="B822" t="s">
        <v>2518</v>
      </c>
      <c r="C822" s="98">
        <f>VLOOKUP(A822,References!$C:$D,2,0)</f>
        <v>190.74380165289256</v>
      </c>
    </row>
    <row r="823" spans="1:3">
      <c r="A823" t="s">
        <v>2522</v>
      </c>
      <c r="B823" t="s">
        <v>2522</v>
      </c>
      <c r="C823" s="98">
        <f>VLOOKUP(A823,References!$C:$D,2,0)</f>
        <v>135.75539568345323</v>
      </c>
    </row>
    <row r="824" spans="1:3">
      <c r="A824" t="s">
        <v>2030</v>
      </c>
      <c r="B824" t="s">
        <v>2030</v>
      </c>
      <c r="C824" s="98">
        <f>VLOOKUP(A824,References!$C:$D,2,0)</f>
        <v>231.9597989949749</v>
      </c>
    </row>
    <row r="825" spans="1:3">
      <c r="A825" t="s">
        <v>2527</v>
      </c>
      <c r="B825" t="s">
        <v>2527</v>
      </c>
      <c r="C825" s="98">
        <f>VLOOKUP(A825,References!$C:$D,2,0)</f>
        <v>307.73333333333335</v>
      </c>
    </row>
    <row r="826" spans="1:3">
      <c r="A826" t="s">
        <v>2468</v>
      </c>
      <c r="B826" t="s">
        <v>2468</v>
      </c>
      <c r="C826" s="98">
        <f>VLOOKUP(A826,References!$C:$D,2,0)</f>
        <v>191.53526970954357</v>
      </c>
    </row>
    <row r="827" spans="1:3">
      <c r="A827" t="s">
        <v>1647</v>
      </c>
      <c r="B827" t="s">
        <v>1647</v>
      </c>
      <c r="C827" s="98">
        <f>VLOOKUP(A827,References!$C:$D,2,0)</f>
        <v>231.9597989949749</v>
      </c>
    </row>
    <row r="828" spans="1:3">
      <c r="A828" t="s">
        <v>1720</v>
      </c>
      <c r="B828" t="s">
        <v>5189</v>
      </c>
      <c r="C828" s="98">
        <f>VLOOKUP(A828,References!$C:$D,2,0)</f>
        <v>135.75539568345323</v>
      </c>
    </row>
    <row r="829" spans="1:3">
      <c r="A829" t="s">
        <v>2534</v>
      </c>
      <c r="B829" t="s">
        <v>2534</v>
      </c>
      <c r="C829" s="98">
        <f>VLOOKUP(A829,References!$C:$D,2,0)</f>
        <v>192.33333333333334</v>
      </c>
    </row>
    <row r="830" spans="1:3">
      <c r="A830" t="s">
        <v>2537</v>
      </c>
      <c r="B830" t="s">
        <v>2537</v>
      </c>
      <c r="C830" s="98">
        <f>VLOOKUP(A830,References!$C:$D,2,0)</f>
        <v>97.938375350140063</v>
      </c>
    </row>
    <row r="831" spans="1:3">
      <c r="A831" t="s">
        <v>2540</v>
      </c>
      <c r="B831" t="s">
        <v>5190</v>
      </c>
      <c r="C831" s="98">
        <f>VLOOKUP(A831,References!$C:$D,2,0)</f>
        <v>95.938375350140063</v>
      </c>
    </row>
    <row r="832" spans="1:3">
      <c r="A832" t="s">
        <v>2256</v>
      </c>
      <c r="B832" t="s">
        <v>5191</v>
      </c>
      <c r="C832" s="98">
        <f>VLOOKUP(A832,References!$C:$D,2,0)</f>
        <v>231.9597989949749</v>
      </c>
    </row>
    <row r="833" spans="1:3">
      <c r="A833" t="s">
        <v>1618</v>
      </c>
      <c r="B833" t="s">
        <v>5192</v>
      </c>
      <c r="C833" s="98">
        <f>VLOOKUP(A833,References!$C:$D,2,0)</f>
        <v>231.9597989949749</v>
      </c>
    </row>
    <row r="834" spans="1:3">
      <c r="A834" t="s">
        <v>2543</v>
      </c>
      <c r="B834" t="s">
        <v>2543</v>
      </c>
      <c r="C834" s="98">
        <f>VLOOKUP(A834,References!$C:$D,2,0)</f>
        <v>2</v>
      </c>
    </row>
    <row r="835" spans="1:3">
      <c r="A835" t="s">
        <v>2546</v>
      </c>
      <c r="B835" t="s">
        <v>2546</v>
      </c>
      <c r="C835" s="98">
        <f>VLOOKUP(A835,References!$C:$D,2,0)</f>
        <v>131.73076923076923</v>
      </c>
    </row>
    <row r="836" spans="1:3">
      <c r="A836" t="s">
        <v>2549</v>
      </c>
      <c r="B836" t="s">
        <v>2549</v>
      </c>
      <c r="C836" s="98">
        <f>VLOOKUP(A836,References!$C:$D,2,0)</f>
        <v>90.234375</v>
      </c>
    </row>
    <row r="837" spans="1:3">
      <c r="A837" t="s">
        <v>2553</v>
      </c>
      <c r="B837" t="s">
        <v>2553</v>
      </c>
      <c r="C837" s="98">
        <f>VLOOKUP(A837,References!$C:$D,2,0)</f>
        <v>135.75539568345323</v>
      </c>
    </row>
    <row r="838" spans="1:3">
      <c r="A838" t="s">
        <v>2556</v>
      </c>
      <c r="B838" t="s">
        <v>2556</v>
      </c>
      <c r="C838" s="98">
        <f>VLOOKUP(A838,References!$C:$D,2,0)</f>
        <v>190.74380165289256</v>
      </c>
    </row>
    <row r="839" spans="1:3">
      <c r="A839" t="s">
        <v>2559</v>
      </c>
      <c r="B839" t="s">
        <v>2559</v>
      </c>
      <c r="C839" s="98">
        <f>VLOOKUP(A839,References!$C:$D,2,0)</f>
        <v>131.73076923076923</v>
      </c>
    </row>
    <row r="840" spans="1:3">
      <c r="A840" t="s">
        <v>1611</v>
      </c>
      <c r="B840" t="s">
        <v>5193</v>
      </c>
      <c r="C840" s="98">
        <f>VLOOKUP(A840,References!$C:$D,2,0)</f>
        <v>231.9597989949749</v>
      </c>
    </row>
    <row r="841" spans="1:3">
      <c r="A841" t="s">
        <v>2563</v>
      </c>
      <c r="B841" t="s">
        <v>2563</v>
      </c>
      <c r="C841" s="98">
        <f>VLOOKUP(A841,References!$C:$D,2,0)</f>
        <v>106.69781931464175</v>
      </c>
    </row>
    <row r="842" spans="1:3">
      <c r="A842" t="s">
        <v>2566</v>
      </c>
      <c r="B842" t="s">
        <v>2566</v>
      </c>
      <c r="C842" s="98">
        <f>VLOOKUP(A842,References!$C:$D,2,0)</f>
        <v>190.74380165289256</v>
      </c>
    </row>
    <row r="843" spans="1:3">
      <c r="A843" t="s">
        <v>2570</v>
      </c>
      <c r="B843" t="s">
        <v>2570</v>
      </c>
      <c r="C843" s="98">
        <f>VLOOKUP(A843,References!$C:$D,2,0)</f>
        <v>195.71428571428572</v>
      </c>
    </row>
    <row r="844" spans="1:3">
      <c r="A844" t="s">
        <v>2574</v>
      </c>
      <c r="B844" t="s">
        <v>2574</v>
      </c>
      <c r="C844" s="98">
        <f>VLOOKUP(A844,References!$C:$D,2,0)</f>
        <v>95.938375350140063</v>
      </c>
    </row>
    <row r="845" spans="1:3">
      <c r="A845" t="s">
        <v>2578</v>
      </c>
      <c r="B845" t="s">
        <v>2578</v>
      </c>
      <c r="C845" s="98">
        <f>VLOOKUP(A845,References!$C:$D,2,0)</f>
        <v>231.9597989949749</v>
      </c>
    </row>
    <row r="846" spans="1:3">
      <c r="A846" t="s">
        <v>2582</v>
      </c>
      <c r="B846" t="s">
        <v>2582</v>
      </c>
      <c r="C846" s="98">
        <f>VLOOKUP(A846,References!$C:$D,2,0)</f>
        <v>135.75539568345323</v>
      </c>
    </row>
    <row r="847" spans="1:3">
      <c r="A847" t="s">
        <v>2586</v>
      </c>
      <c r="B847" t="s">
        <v>2586</v>
      </c>
      <c r="C847" s="98">
        <f>VLOOKUP(A847,References!$C:$D,2,0)</f>
        <v>188.40816326530611</v>
      </c>
    </row>
    <row r="848" spans="1:3">
      <c r="A848" t="s">
        <v>2590</v>
      </c>
      <c r="B848" t="s">
        <v>2590</v>
      </c>
      <c r="C848" s="98">
        <f>VLOOKUP(A848,References!$C:$D,2,0)</f>
        <v>129.24528301886792</v>
      </c>
    </row>
    <row r="849" spans="1:3">
      <c r="A849" t="s">
        <v>2594</v>
      </c>
      <c r="B849" t="s">
        <v>5194</v>
      </c>
      <c r="C849" s="98">
        <f>VLOOKUP(A849,References!$C:$D,2,0)</f>
        <v>231.9597989949749</v>
      </c>
    </row>
    <row r="850" spans="1:3">
      <c r="A850" t="s">
        <v>2597</v>
      </c>
      <c r="B850" t="s">
        <v>2597</v>
      </c>
      <c r="C850" s="98">
        <f>VLOOKUP(A850,References!$C:$D,2,0)</f>
        <v>192.33333333333334</v>
      </c>
    </row>
    <row r="851" spans="1:3">
      <c r="A851" t="s">
        <v>2600</v>
      </c>
      <c r="B851" t="s">
        <v>2600</v>
      </c>
      <c r="C851" s="98">
        <f>VLOOKUP(A851,References!$C:$D,2,0)</f>
        <v>217.73584905660377</v>
      </c>
    </row>
    <row r="852" spans="1:3">
      <c r="A852" t="s">
        <v>2604</v>
      </c>
      <c r="B852" t="s">
        <v>2604</v>
      </c>
      <c r="C852" s="98">
        <f>VLOOKUP(A852,References!$C:$D,2,0)</f>
        <v>231.9597989949749</v>
      </c>
    </row>
    <row r="853" spans="1:3">
      <c r="A853" t="s">
        <v>2608</v>
      </c>
      <c r="B853" t="s">
        <v>2608</v>
      </c>
      <c r="C853" s="98">
        <f>VLOOKUP(A853,References!$C:$D,2,0)</f>
        <v>95.938375350140063</v>
      </c>
    </row>
    <row r="854" spans="1:3">
      <c r="A854" t="s">
        <v>2611</v>
      </c>
      <c r="B854" t="s">
        <v>2611</v>
      </c>
      <c r="C854" s="98">
        <f>VLOOKUP(A854,References!$C:$D,2,0)</f>
        <v>231.9597989949749</v>
      </c>
    </row>
    <row r="855" spans="1:3">
      <c r="A855" t="s">
        <v>2615</v>
      </c>
      <c r="B855" t="s">
        <v>2615</v>
      </c>
      <c r="C855" s="98">
        <f>VLOOKUP(A855,References!$C:$D,2,0)</f>
        <v>188.40816326530611</v>
      </c>
    </row>
    <row r="856" spans="1:3">
      <c r="A856" t="s">
        <v>2619</v>
      </c>
      <c r="B856" t="s">
        <v>2619</v>
      </c>
      <c r="C856" s="98">
        <f>VLOOKUP(A856,References!$C:$D,2,0)</f>
        <v>144.25</v>
      </c>
    </row>
    <row r="857" spans="1:3">
      <c r="A857" t="s">
        <v>2622</v>
      </c>
      <c r="B857" t="s">
        <v>5195</v>
      </c>
      <c r="C857" s="98">
        <f>VLOOKUP(A857,References!$C:$D,2,0)</f>
        <v>188.40816326530611</v>
      </c>
    </row>
    <row r="858" spans="1:3">
      <c r="A858" t="s">
        <v>2624</v>
      </c>
      <c r="B858" t="s">
        <v>2624</v>
      </c>
      <c r="C858" s="98">
        <f>VLOOKUP(A858,References!$C:$D,2,0)</f>
        <v>234.9597989949749</v>
      </c>
    </row>
    <row r="859" spans="1:3">
      <c r="A859" t="s">
        <v>2627</v>
      </c>
      <c r="B859" t="s">
        <v>2627</v>
      </c>
      <c r="C859" s="98">
        <f>VLOOKUP(A859,References!$C:$D,2,0)</f>
        <v>231.9597989949749</v>
      </c>
    </row>
    <row r="860" spans="1:3">
      <c r="A860" t="s">
        <v>1725</v>
      </c>
      <c r="B860" t="s">
        <v>5196</v>
      </c>
      <c r="C860" s="98">
        <f>VLOOKUP(A860,References!$C:$D,2,0)</f>
        <v>135.75539568345323</v>
      </c>
    </row>
    <row r="861" spans="1:3">
      <c r="A861" t="s">
        <v>2077</v>
      </c>
      <c r="B861" t="s">
        <v>2077</v>
      </c>
      <c r="C861" s="98">
        <f>VLOOKUP(A861,References!$C:$D,2,0)</f>
        <v>233.13131313131314</v>
      </c>
    </row>
    <row r="862" spans="1:3">
      <c r="A862" t="s">
        <v>2633</v>
      </c>
      <c r="B862" t="s">
        <v>2633</v>
      </c>
      <c r="C862" s="98">
        <f>VLOOKUP(A862,References!$C:$D,2,0)</f>
        <v>135.75539568345323</v>
      </c>
    </row>
    <row r="863" spans="1:3">
      <c r="A863" t="s">
        <v>2637</v>
      </c>
      <c r="B863" t="s">
        <v>2637</v>
      </c>
      <c r="C863" s="98">
        <f>VLOOKUP(A863,References!$C:$D,2,0)</f>
        <v>190.74380165289256</v>
      </c>
    </row>
    <row r="864" spans="1:3">
      <c r="A864" t="s">
        <v>2641</v>
      </c>
      <c r="B864" t="s">
        <v>5197</v>
      </c>
      <c r="C864" s="98">
        <f>VLOOKUP(A864,References!$C:$D,2,0)</f>
        <v>188.40816326530611</v>
      </c>
    </row>
    <row r="865" spans="1:3">
      <c r="A865" t="s">
        <v>2643</v>
      </c>
      <c r="B865" t="s">
        <v>2643</v>
      </c>
      <c r="C865" s="98">
        <f>VLOOKUP(A865,References!$C:$D,2,0)</f>
        <v>190.74380165289256</v>
      </c>
    </row>
    <row r="866" spans="1:3">
      <c r="A866" t="s">
        <v>2214</v>
      </c>
      <c r="B866" t="s">
        <v>2214</v>
      </c>
      <c r="C866" s="98">
        <f>VLOOKUP(A866,References!$C:$D,2,0)</f>
        <v>191.53526970954357</v>
      </c>
    </row>
    <row r="867" spans="1:3">
      <c r="A867" t="s">
        <v>2649</v>
      </c>
      <c r="B867" t="s">
        <v>5198</v>
      </c>
      <c r="C867" s="98">
        <f>VLOOKUP(A867,References!$C:$D,2,0)</f>
        <v>231.9597989949749</v>
      </c>
    </row>
    <row r="868" spans="1:3">
      <c r="A868" t="s">
        <v>2651</v>
      </c>
      <c r="B868" t="s">
        <v>2651</v>
      </c>
      <c r="C868" s="98">
        <f>VLOOKUP(A868,References!$C:$D,2,0)</f>
        <v>234.31472081218274</v>
      </c>
    </row>
    <row r="869" spans="1:3">
      <c r="A869" t="s">
        <v>2655</v>
      </c>
      <c r="B869" t="s">
        <v>2655</v>
      </c>
      <c r="C869" s="98">
        <f>VLOOKUP(A869,References!$C:$D,2,0)</f>
        <v>95.938375350140063</v>
      </c>
    </row>
    <row r="870" spans="1:3">
      <c r="A870" t="s">
        <v>2658</v>
      </c>
      <c r="B870" t="s">
        <v>5199</v>
      </c>
      <c r="C870" s="98">
        <f>VLOOKUP(A870,References!$C:$D,2,0)</f>
        <v>188.40816326530611</v>
      </c>
    </row>
    <row r="871" spans="1:3">
      <c r="A871" t="s">
        <v>2660</v>
      </c>
      <c r="B871" t="s">
        <v>2660</v>
      </c>
      <c r="C871" s="98">
        <f>VLOOKUP(A871,References!$C:$D,2,0)</f>
        <v>233.13131313131314</v>
      </c>
    </row>
    <row r="872" spans="1:3">
      <c r="A872" t="s">
        <v>2001</v>
      </c>
      <c r="B872" t="s">
        <v>2001</v>
      </c>
      <c r="C872" s="98">
        <f>VLOOKUP(A872,References!$C:$D,2,0)</f>
        <v>231.9597989949749</v>
      </c>
    </row>
    <row r="873" spans="1:3">
      <c r="A873" t="s">
        <v>2665</v>
      </c>
      <c r="B873" t="s">
        <v>2665</v>
      </c>
      <c r="C873" s="98">
        <f>VLOOKUP(A873,References!$C:$D,2,0)</f>
        <v>234.31472081218274</v>
      </c>
    </row>
    <row r="874" spans="1:3">
      <c r="A874" t="s">
        <v>2668</v>
      </c>
      <c r="B874" t="s">
        <v>2668</v>
      </c>
      <c r="C874" s="98">
        <f>VLOOKUP(A874,References!$C:$D,2,0)</f>
        <v>144.25</v>
      </c>
    </row>
    <row r="875" spans="1:3">
      <c r="A875" t="s">
        <v>1695</v>
      </c>
      <c r="B875" t="s">
        <v>1695</v>
      </c>
      <c r="C875" s="98">
        <f>VLOOKUP(A875,References!$C:$D,2,0)</f>
        <v>260.79096045197741</v>
      </c>
    </row>
    <row r="876" spans="1:3">
      <c r="A876" t="s">
        <v>2674</v>
      </c>
      <c r="B876" t="s">
        <v>2674</v>
      </c>
      <c r="C876" s="98">
        <f>VLOOKUP(A876,References!$C:$D,2,0)</f>
        <v>195.71428571428572</v>
      </c>
    </row>
    <row r="877" spans="1:3">
      <c r="A877" t="s">
        <v>2677</v>
      </c>
      <c r="B877" t="s">
        <v>2677</v>
      </c>
      <c r="C877" s="98">
        <f>VLOOKUP(A877,References!$C:$D,2,0)</f>
        <v>234.31472081218274</v>
      </c>
    </row>
    <row r="878" spans="1:3">
      <c r="A878" t="s">
        <v>2680</v>
      </c>
      <c r="B878" t="s">
        <v>2680</v>
      </c>
      <c r="C878" s="98">
        <f>VLOOKUP(A878,References!$C:$D,2,0)</f>
        <v>217.73584905660377</v>
      </c>
    </row>
    <row r="879" spans="1:3">
      <c r="A879" t="s">
        <v>2683</v>
      </c>
      <c r="B879" t="s">
        <v>2683</v>
      </c>
      <c r="C879" s="98">
        <f>VLOOKUP(A879,References!$C:$D,2,0)</f>
        <v>95.938375350140063</v>
      </c>
    </row>
    <row r="880" spans="1:3">
      <c r="A880" t="s">
        <v>2686</v>
      </c>
      <c r="B880" t="s">
        <v>2686</v>
      </c>
      <c r="C880" s="98">
        <f>VLOOKUP(A880,References!$C:$D,2,0)</f>
        <v>234.31472081218274</v>
      </c>
    </row>
    <row r="881" spans="1:3">
      <c r="A881" t="s">
        <v>1974</v>
      </c>
      <c r="B881" t="s">
        <v>1974</v>
      </c>
      <c r="C881" s="98">
        <f>VLOOKUP(A881,References!$C:$D,2,0)</f>
        <v>188.40816326530611</v>
      </c>
    </row>
    <row r="882" spans="1:3">
      <c r="A882" t="s">
        <v>1724</v>
      </c>
      <c r="B882" t="s">
        <v>5200</v>
      </c>
      <c r="C882" s="98">
        <f>VLOOKUP(A882,References!$C:$D,2,0)</f>
        <v>135.75539568345323</v>
      </c>
    </row>
    <row r="883" spans="1:3">
      <c r="A883" t="s">
        <v>2692</v>
      </c>
      <c r="B883" t="s">
        <v>2692</v>
      </c>
      <c r="C883" s="98">
        <f>VLOOKUP(A883,References!$C:$D,2,0)</f>
        <v>231.9597989949749</v>
      </c>
    </row>
    <row r="884" spans="1:3">
      <c r="A884" t="s">
        <v>2695</v>
      </c>
      <c r="B884" t="s">
        <v>2695</v>
      </c>
      <c r="C884" s="98">
        <f>VLOOKUP(A884,References!$C:$D,2,0)</f>
        <v>188.40816326530611</v>
      </c>
    </row>
    <row r="885" spans="1:3">
      <c r="A885" t="s">
        <v>2699</v>
      </c>
      <c r="B885" t="s">
        <v>2699</v>
      </c>
      <c r="C885" s="98">
        <f>VLOOKUP(A885,References!$C:$D,2,0)</f>
        <v>191.53526970954357</v>
      </c>
    </row>
    <row r="886" spans="1:3">
      <c r="A886" t="s">
        <v>1794</v>
      </c>
      <c r="B886" t="s">
        <v>1794</v>
      </c>
      <c r="C886" s="98">
        <f>VLOOKUP(A886,References!$C:$D,2,0)</f>
        <v>233.13131313131314</v>
      </c>
    </row>
    <row r="887" spans="1:3">
      <c r="A887" t="s">
        <v>2704</v>
      </c>
      <c r="B887" t="s">
        <v>2704</v>
      </c>
      <c r="C887" s="98">
        <f>VLOOKUP(A887,References!$C:$D,2,0)</f>
        <v>231.9597989949749</v>
      </c>
    </row>
    <row r="888" spans="1:3">
      <c r="A888" t="s">
        <v>2708</v>
      </c>
      <c r="B888" t="s">
        <v>2708</v>
      </c>
      <c r="C888" s="98">
        <f>VLOOKUP(A888,References!$C:$D,2,0)</f>
        <v>233.13131313131314</v>
      </c>
    </row>
    <row r="889" spans="1:3">
      <c r="A889" t="s">
        <v>2553</v>
      </c>
      <c r="B889" t="s">
        <v>5201</v>
      </c>
      <c r="C889" s="98">
        <f>VLOOKUP(A889,References!$C:$D,2,0)</f>
        <v>135.75539568345323</v>
      </c>
    </row>
    <row r="890" spans="1:3">
      <c r="A890" t="s">
        <v>2713</v>
      </c>
      <c r="B890" t="s">
        <v>2713</v>
      </c>
      <c r="C890" s="98">
        <f>VLOOKUP(A890,References!$C:$D,2,0)</f>
        <v>190.74380165289256</v>
      </c>
    </row>
    <row r="891" spans="1:3">
      <c r="A891" t="s">
        <v>2716</v>
      </c>
      <c r="B891" t="s">
        <v>2716</v>
      </c>
      <c r="C891" s="98">
        <f>VLOOKUP(A891,References!$C:$D,2,0)</f>
        <v>231.9597989949749</v>
      </c>
    </row>
    <row r="892" spans="1:3">
      <c r="A892" t="s">
        <v>2720</v>
      </c>
      <c r="B892" t="s">
        <v>2720</v>
      </c>
      <c r="C892" s="98">
        <f>VLOOKUP(A892,References!$C:$D,2,0)</f>
        <v>188.40816326530611</v>
      </c>
    </row>
    <row r="893" spans="1:3">
      <c r="A893" t="s">
        <v>2724</v>
      </c>
      <c r="B893" t="s">
        <v>2724</v>
      </c>
      <c r="C893" s="98">
        <f>VLOOKUP(A893,References!$C:$D,2,0)</f>
        <v>307.73333333333335</v>
      </c>
    </row>
    <row r="894" spans="1:3">
      <c r="A894" t="s">
        <v>2727</v>
      </c>
      <c r="B894" t="s">
        <v>2727</v>
      </c>
      <c r="C894" s="98">
        <f>VLOOKUP(A894,References!$C:$D,2,0)</f>
        <v>231.9597989949749</v>
      </c>
    </row>
    <row r="895" spans="1:3">
      <c r="A895" t="s">
        <v>2730</v>
      </c>
      <c r="B895" t="s">
        <v>5202</v>
      </c>
      <c r="C895" s="98">
        <f>VLOOKUP(A895,References!$C:$D,2,0)</f>
        <v>144.25</v>
      </c>
    </row>
    <row r="896" spans="1:3">
      <c r="A896" t="s">
        <v>2731</v>
      </c>
      <c r="B896" t="s">
        <v>5203</v>
      </c>
      <c r="C896" s="98">
        <f>VLOOKUP(A896,References!$C:$D,2,0)</f>
        <v>233.13131313131314</v>
      </c>
    </row>
    <row r="897" spans="1:3">
      <c r="A897" t="s">
        <v>1622</v>
      </c>
      <c r="B897" t="s">
        <v>5204</v>
      </c>
      <c r="C897" s="98">
        <f>VLOOKUP(A897,References!$C:$D,2,0)</f>
        <v>231.9597989949749</v>
      </c>
    </row>
    <row r="898" spans="1:3">
      <c r="A898" t="s">
        <v>2733</v>
      </c>
      <c r="B898" t="s">
        <v>2733</v>
      </c>
      <c r="C898" s="98">
        <f>VLOOKUP(A898,References!$C:$D,2,0)</f>
        <v>260.79096045197741</v>
      </c>
    </row>
    <row r="899" spans="1:3">
      <c r="A899" t="s">
        <v>2737</v>
      </c>
      <c r="B899" t="s">
        <v>2737</v>
      </c>
      <c r="C899" s="98">
        <f>VLOOKUP(A899,References!$C:$D,2,0)</f>
        <v>192.33333333333334</v>
      </c>
    </row>
    <row r="900" spans="1:3">
      <c r="A900" t="s">
        <v>2741</v>
      </c>
      <c r="B900" t="s">
        <v>2741</v>
      </c>
      <c r="C900" s="98">
        <f>VLOOKUP(A900,References!$C:$D,2,0)</f>
        <v>188.40816326530611</v>
      </c>
    </row>
    <row r="901" spans="1:3">
      <c r="A901" t="s">
        <v>2744</v>
      </c>
      <c r="B901" t="s">
        <v>2744</v>
      </c>
      <c r="C901" s="98">
        <f>VLOOKUP(A901,References!$C:$D,2,0)</f>
        <v>190.74380165289256</v>
      </c>
    </row>
    <row r="902" spans="1:3">
      <c r="A902" t="s">
        <v>2746</v>
      </c>
      <c r="B902" t="s">
        <v>2746</v>
      </c>
      <c r="C902" s="98">
        <f>VLOOKUP(A902,References!$C:$D,2,0)</f>
        <v>231.9597989949749</v>
      </c>
    </row>
    <row r="903" spans="1:3">
      <c r="A903" t="s">
        <v>2749</v>
      </c>
      <c r="B903" t="s">
        <v>5205</v>
      </c>
      <c r="C903" s="98">
        <f>VLOOKUP(A903,References!$C:$D,2,0)</f>
        <v>135.75539568345323</v>
      </c>
    </row>
    <row r="904" spans="1:3">
      <c r="A904" t="s">
        <v>2753</v>
      </c>
      <c r="B904" t="s">
        <v>2753</v>
      </c>
      <c r="C904" s="98">
        <f>VLOOKUP(A904,References!$C:$D,2,0)</f>
        <v>3</v>
      </c>
    </row>
    <row r="905" spans="1:3">
      <c r="A905" t="s">
        <v>2756</v>
      </c>
      <c r="B905" t="s">
        <v>2756</v>
      </c>
      <c r="C905" s="98">
        <f>VLOOKUP(A905,References!$C:$D,2,0)</f>
        <v>97.938375350140063</v>
      </c>
    </row>
    <row r="906" spans="1:3">
      <c r="A906" t="s">
        <v>2759</v>
      </c>
      <c r="B906" t="s">
        <v>2759</v>
      </c>
      <c r="C906" s="98">
        <f>VLOOKUP(A906,References!$C:$D,2,0)</f>
        <v>231.9597989949749</v>
      </c>
    </row>
    <row r="907" spans="1:3">
      <c r="A907" t="s">
        <v>2763</v>
      </c>
      <c r="B907" t="s">
        <v>2763</v>
      </c>
      <c r="C907" s="98">
        <f>VLOOKUP(A907,References!$C:$D,2,0)</f>
        <v>234.31472081218274</v>
      </c>
    </row>
    <row r="908" spans="1:3">
      <c r="A908" t="s">
        <v>1609</v>
      </c>
      <c r="B908" t="s">
        <v>1609</v>
      </c>
      <c r="C908" s="98">
        <f>VLOOKUP(A908,References!$C:$D,2,0)</f>
        <v>231.9597989949749</v>
      </c>
    </row>
    <row r="909" spans="1:3">
      <c r="A909" t="s">
        <v>2768</v>
      </c>
      <c r="B909" t="s">
        <v>2768</v>
      </c>
      <c r="C909" s="98">
        <f>VLOOKUP(A909,References!$C:$D,2,0)</f>
        <v>231.9597989949749</v>
      </c>
    </row>
    <row r="910" spans="1:3">
      <c r="A910" t="s">
        <v>2771</v>
      </c>
      <c r="B910" t="s">
        <v>2771</v>
      </c>
      <c r="C910" s="98">
        <f>VLOOKUP(A910,References!$C:$D,2,0)</f>
        <v>234.9597989949749</v>
      </c>
    </row>
    <row r="911" spans="1:3">
      <c r="A911" t="s">
        <v>2775</v>
      </c>
      <c r="B911" t="s">
        <v>2775</v>
      </c>
      <c r="C911" s="98">
        <f>VLOOKUP(A911,References!$C:$D,2,0)</f>
        <v>234.31472081218274</v>
      </c>
    </row>
    <row r="912" spans="1:3">
      <c r="A912" t="s">
        <v>2778</v>
      </c>
      <c r="B912" t="s">
        <v>2778</v>
      </c>
      <c r="C912" s="98">
        <f>VLOOKUP(A912,References!$C:$D,2,0)</f>
        <v>234.31472081218274</v>
      </c>
    </row>
    <row r="913" spans="1:3">
      <c r="A913" t="s">
        <v>2781</v>
      </c>
      <c r="B913" t="s">
        <v>2781</v>
      </c>
      <c r="C913" s="98">
        <f>VLOOKUP(A913,References!$C:$D,2,0)</f>
        <v>260.79096045197741</v>
      </c>
    </row>
    <row r="914" spans="1:3">
      <c r="A914" t="s">
        <v>2785</v>
      </c>
      <c r="B914" t="s">
        <v>2785</v>
      </c>
      <c r="C914" s="98">
        <f>VLOOKUP(A914,References!$C:$D,2,0)</f>
        <v>90.234375</v>
      </c>
    </row>
    <row r="915" spans="1:3">
      <c r="A915" t="s">
        <v>2788</v>
      </c>
      <c r="B915" t="s">
        <v>2788</v>
      </c>
      <c r="C915" s="98">
        <f>VLOOKUP(A915,References!$C:$D,2,0)</f>
        <v>95.938375350140063</v>
      </c>
    </row>
    <row r="916" spans="1:3">
      <c r="A916" t="s">
        <v>1654</v>
      </c>
      <c r="B916" t="s">
        <v>1654</v>
      </c>
      <c r="C916" s="98">
        <f>VLOOKUP(A916,References!$C:$D,2,0)</f>
        <v>233.13131313131314</v>
      </c>
    </row>
    <row r="917" spans="1:3">
      <c r="A917" t="s">
        <v>1699</v>
      </c>
      <c r="B917" t="s">
        <v>1699</v>
      </c>
      <c r="C917" s="98">
        <f>VLOOKUP(A917,References!$C:$D,2,0)</f>
        <v>260.79096045197741</v>
      </c>
    </row>
    <row r="918" spans="1:3">
      <c r="A918" t="s">
        <v>1964</v>
      </c>
      <c r="B918" t="s">
        <v>1964</v>
      </c>
      <c r="C918" s="98">
        <f>VLOOKUP(A918,References!$C:$D,2,0)</f>
        <v>188.40816326530611</v>
      </c>
    </row>
    <row r="919" spans="1:3">
      <c r="A919" t="s">
        <v>2797</v>
      </c>
      <c r="B919" t="s">
        <v>2797</v>
      </c>
      <c r="C919" s="98">
        <f>VLOOKUP(A919,References!$C:$D,2,0)</f>
        <v>97.938375350140063</v>
      </c>
    </row>
    <row r="920" spans="1:3">
      <c r="A920" t="s">
        <v>2800</v>
      </c>
      <c r="B920" t="s">
        <v>2800</v>
      </c>
      <c r="C920" s="98">
        <f>VLOOKUP(A920,References!$C:$D,2,0)</f>
        <v>231.9597989949749</v>
      </c>
    </row>
    <row r="921" spans="1:3">
      <c r="A921" t="s">
        <v>2803</v>
      </c>
      <c r="B921" t="s">
        <v>2803</v>
      </c>
      <c r="C921" s="98">
        <f>VLOOKUP(A921,References!$C:$D,2,0)</f>
        <v>233.13131313131314</v>
      </c>
    </row>
    <row r="922" spans="1:3">
      <c r="A922" t="s">
        <v>2807</v>
      </c>
      <c r="B922" t="s">
        <v>2807</v>
      </c>
      <c r="C922" s="98">
        <f>VLOOKUP(A922,References!$C:$D,2,0)</f>
        <v>234.31472081218274</v>
      </c>
    </row>
    <row r="923" spans="1:3">
      <c r="A923" t="s">
        <v>2810</v>
      </c>
      <c r="B923" t="s">
        <v>2810</v>
      </c>
      <c r="C923" s="98">
        <f>VLOOKUP(A923,References!$C:$D,2,0)</f>
        <v>231.9597989949749</v>
      </c>
    </row>
    <row r="924" spans="1:3">
      <c r="A924" t="s">
        <v>2814</v>
      </c>
      <c r="B924" t="s">
        <v>2814</v>
      </c>
      <c r="C924" s="98">
        <f>VLOOKUP(A924,References!$C:$D,2,0)</f>
        <v>135.75539568345323</v>
      </c>
    </row>
    <row r="925" spans="1:3">
      <c r="A925" t="s">
        <v>1657</v>
      </c>
      <c r="B925" t="s">
        <v>5206</v>
      </c>
      <c r="C925" s="98">
        <f>VLOOKUP(A925,References!$C:$D,2,0)</f>
        <v>233.13131313131314</v>
      </c>
    </row>
    <row r="926" spans="1:3">
      <c r="A926" t="s">
        <v>2817</v>
      </c>
      <c r="B926" t="s">
        <v>2817</v>
      </c>
      <c r="C926" s="98">
        <f>VLOOKUP(A926,References!$C:$D,2,0)</f>
        <v>217.73584905660377</v>
      </c>
    </row>
    <row r="927" spans="1:3">
      <c r="A927" t="s">
        <v>2821</v>
      </c>
      <c r="B927" t="s">
        <v>2821</v>
      </c>
      <c r="C927" s="98">
        <f>VLOOKUP(A927,References!$C:$D,2,0)</f>
        <v>188.40816326530611</v>
      </c>
    </row>
    <row r="928" spans="1:3">
      <c r="A928" t="s">
        <v>2594</v>
      </c>
      <c r="B928" t="s">
        <v>2594</v>
      </c>
      <c r="C928" s="98">
        <f>VLOOKUP(A928,References!$C:$D,2,0)</f>
        <v>231.9597989949749</v>
      </c>
    </row>
    <row r="929" spans="1:3">
      <c r="A929" t="s">
        <v>2826</v>
      </c>
      <c r="B929" t="s">
        <v>2826</v>
      </c>
      <c r="C929" s="98">
        <f>VLOOKUP(A929,References!$C:$D,2,0)</f>
        <v>231.9597989949749</v>
      </c>
    </row>
    <row r="930" spans="1:3">
      <c r="A930" t="s">
        <v>2830</v>
      </c>
      <c r="B930" t="s">
        <v>5207</v>
      </c>
      <c r="C930" s="98">
        <f>VLOOKUP(A930,References!$C:$D,2,0)</f>
        <v>231.9597989949749</v>
      </c>
    </row>
    <row r="931" spans="1:3">
      <c r="A931" t="s">
        <v>2831</v>
      </c>
      <c r="B931" t="s">
        <v>5208</v>
      </c>
      <c r="C931" s="98">
        <f>VLOOKUP(A931,References!$C:$D,2,0)</f>
        <v>188.40816326530611</v>
      </c>
    </row>
    <row r="932" spans="1:3">
      <c r="A932" t="s">
        <v>2833</v>
      </c>
      <c r="B932" t="s">
        <v>2833</v>
      </c>
      <c r="C932" s="98">
        <f>VLOOKUP(A932,References!$C:$D,2,0)</f>
        <v>190.74380165289256</v>
      </c>
    </row>
    <row r="933" spans="1:3">
      <c r="A933" t="s">
        <v>2837</v>
      </c>
      <c r="B933" t="s">
        <v>2837</v>
      </c>
      <c r="C933" s="98">
        <f>VLOOKUP(A933,References!$C:$D,2,0)</f>
        <v>196.42553191489361</v>
      </c>
    </row>
    <row r="934" spans="1:3">
      <c r="A934" t="s">
        <v>2840</v>
      </c>
      <c r="B934" t="s">
        <v>2840</v>
      </c>
      <c r="C934" s="98">
        <f>VLOOKUP(A934,References!$C:$D,2,0)</f>
        <v>191.53526970954357</v>
      </c>
    </row>
    <row r="935" spans="1:3">
      <c r="A935" t="s">
        <v>2844</v>
      </c>
      <c r="B935" t="s">
        <v>2844</v>
      </c>
      <c r="C935" s="98">
        <f>VLOOKUP(A935,References!$C:$D,2,0)</f>
        <v>231.9597989949749</v>
      </c>
    </row>
    <row r="936" spans="1:3">
      <c r="A936" t="s">
        <v>2847</v>
      </c>
      <c r="B936" t="s">
        <v>2847</v>
      </c>
      <c r="C936" s="98">
        <f>VLOOKUP(A936,References!$C:$D,2,0)</f>
        <v>144.25</v>
      </c>
    </row>
    <row r="937" spans="1:3">
      <c r="A937" t="s">
        <v>2851</v>
      </c>
      <c r="B937" t="s">
        <v>2851</v>
      </c>
      <c r="C937" s="98">
        <f>VLOOKUP(A937,References!$C:$D,2,0)</f>
        <v>231.9597989949749</v>
      </c>
    </row>
    <row r="938" spans="1:3">
      <c r="A938" t="s">
        <v>2854</v>
      </c>
      <c r="B938" t="s">
        <v>5209</v>
      </c>
      <c r="C938" s="98">
        <f>VLOOKUP(A938,References!$C:$D,2,0)</f>
        <v>231.9597989949749</v>
      </c>
    </row>
    <row r="939" spans="1:3">
      <c r="A939" t="s">
        <v>1697</v>
      </c>
      <c r="B939" t="s">
        <v>1697</v>
      </c>
      <c r="C939" s="98">
        <f>VLOOKUP(A939,References!$C:$D,2,0)</f>
        <v>260.79096045197741</v>
      </c>
    </row>
    <row r="940" spans="1:3">
      <c r="A940" t="s">
        <v>2857</v>
      </c>
      <c r="B940" t="s">
        <v>2857</v>
      </c>
      <c r="C940" s="98">
        <f>VLOOKUP(A940,References!$C:$D,2,0)</f>
        <v>192.33333333333334</v>
      </c>
    </row>
    <row r="941" spans="1:3">
      <c r="A941" t="s">
        <v>1724</v>
      </c>
      <c r="B941" t="s">
        <v>1724</v>
      </c>
      <c r="C941" s="98">
        <f>VLOOKUP(A941,References!$C:$D,2,0)</f>
        <v>135.75539568345323</v>
      </c>
    </row>
    <row r="942" spans="1:3">
      <c r="A942" t="s">
        <v>2831</v>
      </c>
      <c r="B942" t="s">
        <v>2831</v>
      </c>
      <c r="C942" s="98">
        <f>VLOOKUP(A942,References!$C:$D,2,0)</f>
        <v>188.40816326530611</v>
      </c>
    </row>
    <row r="943" spans="1:3">
      <c r="A943" t="s">
        <v>2864</v>
      </c>
      <c r="B943" t="s">
        <v>5210</v>
      </c>
      <c r="C943" s="98">
        <f>VLOOKUP(A943,References!$C:$D,2,0)</f>
        <v>95.938375350140063</v>
      </c>
    </row>
    <row r="944" spans="1:3">
      <c r="A944" t="s">
        <v>2866</v>
      </c>
      <c r="B944" t="s">
        <v>2866</v>
      </c>
      <c r="C944" s="98">
        <f>VLOOKUP(A944,References!$C:$D,2,0)</f>
        <v>144.25</v>
      </c>
    </row>
    <row r="945" spans="1:3">
      <c r="A945" t="s">
        <v>2870</v>
      </c>
      <c r="B945" t="s">
        <v>2870</v>
      </c>
      <c r="C945" s="98">
        <f>VLOOKUP(A945,References!$C:$D,2,0)</f>
        <v>144.25</v>
      </c>
    </row>
    <row r="946" spans="1:3">
      <c r="A946" t="s">
        <v>2874</v>
      </c>
      <c r="B946" t="s">
        <v>2874</v>
      </c>
      <c r="C946" s="98">
        <f>VLOOKUP(A946,References!$C:$D,2,0)</f>
        <v>188.40816326530611</v>
      </c>
    </row>
    <row r="947" spans="1:3">
      <c r="A947" t="s">
        <v>2878</v>
      </c>
      <c r="B947" t="s">
        <v>2878</v>
      </c>
      <c r="C947" s="98">
        <f>VLOOKUP(A947,References!$C:$D,2,0)</f>
        <v>144.25</v>
      </c>
    </row>
    <row r="948" spans="1:3">
      <c r="A948" t="s">
        <v>2882</v>
      </c>
      <c r="B948" t="s">
        <v>5211</v>
      </c>
      <c r="C948" s="98">
        <f>VLOOKUP(A948,References!$C:$D,2,0)</f>
        <v>144.25</v>
      </c>
    </row>
    <row r="949" spans="1:3">
      <c r="A949" t="s">
        <v>2886</v>
      </c>
      <c r="B949" t="s">
        <v>5212</v>
      </c>
      <c r="C949" s="98">
        <f>VLOOKUP(A949,References!$C:$D,2,0)</f>
        <v>190.74380165289256</v>
      </c>
    </row>
    <row r="950" spans="1:3">
      <c r="A950" t="s">
        <v>2888</v>
      </c>
      <c r="B950" t="s">
        <v>2888</v>
      </c>
      <c r="C950" s="98">
        <f>VLOOKUP(A950,References!$C:$D,2,0)</f>
        <v>135.75539568345323</v>
      </c>
    </row>
    <row r="951" spans="1:3">
      <c r="A951" t="s">
        <v>2892</v>
      </c>
      <c r="B951" t="s">
        <v>2892</v>
      </c>
      <c r="C951" s="98">
        <f>VLOOKUP(A951,References!$C:$D,2,0)</f>
        <v>144.25</v>
      </c>
    </row>
    <row r="952" spans="1:3">
      <c r="A952" t="s">
        <v>2895</v>
      </c>
      <c r="B952" t="s">
        <v>2895</v>
      </c>
      <c r="C952" s="98">
        <f>VLOOKUP(A952,References!$C:$D,2,0)</f>
        <v>144.25</v>
      </c>
    </row>
    <row r="953" spans="1:3">
      <c r="A953" t="s">
        <v>2899</v>
      </c>
      <c r="B953" t="s">
        <v>2899</v>
      </c>
      <c r="C953" s="98">
        <f>VLOOKUP(A953,References!$C:$D,2,0)</f>
        <v>233.13131313131314</v>
      </c>
    </row>
    <row r="954" spans="1:3">
      <c r="A954" t="s">
        <v>2902</v>
      </c>
      <c r="B954" t="s">
        <v>2902</v>
      </c>
      <c r="C954" s="98">
        <f>VLOOKUP(A954,References!$C:$D,2,0)</f>
        <v>144.25</v>
      </c>
    </row>
    <row r="955" spans="1:3">
      <c r="A955" t="s">
        <v>2906</v>
      </c>
      <c r="B955" t="s">
        <v>2906</v>
      </c>
      <c r="C955" s="98">
        <f>VLOOKUP(A955,References!$C:$D,2,0)</f>
        <v>95.938375350140063</v>
      </c>
    </row>
    <row r="956" spans="1:3">
      <c r="A956" t="s">
        <v>2910</v>
      </c>
      <c r="B956" t="s">
        <v>2910</v>
      </c>
      <c r="C956" s="98">
        <f>VLOOKUP(A956,References!$C:$D,2,0)</f>
        <v>188.40816326530611</v>
      </c>
    </row>
    <row r="957" spans="1:3">
      <c r="A957" t="s">
        <v>2914</v>
      </c>
      <c r="B957" t="s">
        <v>2914</v>
      </c>
      <c r="C957" s="98">
        <f>VLOOKUP(A957,References!$C:$D,2,0)</f>
        <v>144.25</v>
      </c>
    </row>
    <row r="958" spans="1:3">
      <c r="A958" t="s">
        <v>2918</v>
      </c>
      <c r="B958" t="s">
        <v>2918</v>
      </c>
      <c r="C958" s="98">
        <f>VLOOKUP(A958,References!$C:$D,2,0)</f>
        <v>190.74380165289256</v>
      </c>
    </row>
    <row r="959" spans="1:3">
      <c r="A959" t="s">
        <v>2922</v>
      </c>
      <c r="B959" t="s">
        <v>2922</v>
      </c>
      <c r="C959" s="98">
        <f>VLOOKUP(A959,References!$C:$D,2,0)</f>
        <v>144.25</v>
      </c>
    </row>
    <row r="960" spans="1:3">
      <c r="A960" t="s">
        <v>2926</v>
      </c>
      <c r="B960" t="s">
        <v>2926</v>
      </c>
      <c r="C960" s="98">
        <f>VLOOKUP(A960,References!$C:$D,2,0)</f>
        <v>209.81818181818181</v>
      </c>
    </row>
    <row r="961" spans="1:3">
      <c r="A961" t="s">
        <v>2930</v>
      </c>
      <c r="B961" t="s">
        <v>2930</v>
      </c>
      <c r="C961" s="98">
        <f>VLOOKUP(A961,References!$C:$D,2,0)</f>
        <v>95.938375350140063</v>
      </c>
    </row>
    <row r="962" spans="1:3">
      <c r="A962" t="s">
        <v>2934</v>
      </c>
      <c r="B962" t="s">
        <v>2934</v>
      </c>
      <c r="C962" s="98">
        <f>VLOOKUP(A962,References!$C:$D,2,0)</f>
        <v>144.25</v>
      </c>
    </row>
    <row r="963" spans="1:3">
      <c r="A963" t="s">
        <v>2938</v>
      </c>
      <c r="B963" t="s">
        <v>2938</v>
      </c>
      <c r="C963" s="98">
        <f>VLOOKUP(A963,References!$C:$D,2,0)</f>
        <v>188.40816326530611</v>
      </c>
    </row>
    <row r="964" spans="1:3">
      <c r="A964" t="s">
        <v>2942</v>
      </c>
      <c r="B964" t="s">
        <v>2942</v>
      </c>
      <c r="C964" s="98">
        <f>VLOOKUP(A964,References!$C:$D,2,0)</f>
        <v>144.25</v>
      </c>
    </row>
    <row r="965" spans="1:3">
      <c r="A965" t="s">
        <v>2946</v>
      </c>
      <c r="B965" t="s">
        <v>2946</v>
      </c>
      <c r="C965" s="98">
        <f>VLOOKUP(A965,References!$C:$D,2,0)</f>
        <v>2</v>
      </c>
    </row>
    <row r="966" spans="1:3">
      <c r="A966" t="s">
        <v>2949</v>
      </c>
      <c r="B966" t="s">
        <v>2949</v>
      </c>
      <c r="C966" s="98">
        <f>VLOOKUP(A966,References!$C:$D,2,0)</f>
        <v>144.25</v>
      </c>
    </row>
    <row r="967" spans="1:3">
      <c r="A967" t="s">
        <v>2952</v>
      </c>
      <c r="B967" t="s">
        <v>2952</v>
      </c>
      <c r="C967" s="98">
        <f>VLOOKUP(A967,References!$C:$D,2,0)</f>
        <v>233.13131313131314</v>
      </c>
    </row>
    <row r="968" spans="1:3">
      <c r="A968" t="s">
        <v>2959</v>
      </c>
      <c r="B968" t="s">
        <v>2959</v>
      </c>
      <c r="C968" s="98">
        <f>VLOOKUP(A968,References!$C:$D,2,0)</f>
        <v>188.40816326530611</v>
      </c>
    </row>
    <row r="969" spans="1:3">
      <c r="A969" t="s">
        <v>2955</v>
      </c>
      <c r="B969" t="s">
        <v>2955</v>
      </c>
      <c r="C969" s="98">
        <f>VLOOKUP(A969,References!$C:$D,2,0)</f>
        <v>233.13131313131314</v>
      </c>
    </row>
    <row r="970" spans="1:3">
      <c r="A970" t="s">
        <v>2963</v>
      </c>
      <c r="B970" t="s">
        <v>2963</v>
      </c>
      <c r="C970" s="98">
        <f>VLOOKUP(A970,References!$C:$D,2,0)</f>
        <v>97.938375350140063</v>
      </c>
    </row>
    <row r="971" spans="1:3">
      <c r="A971" t="s">
        <v>2967</v>
      </c>
      <c r="B971" t="s">
        <v>2967</v>
      </c>
      <c r="C971" s="98">
        <f>VLOOKUP(A971,References!$C:$D,2,0)</f>
        <v>144.25</v>
      </c>
    </row>
    <row r="972" spans="1:3">
      <c r="A972" t="s">
        <v>2461</v>
      </c>
      <c r="B972" t="s">
        <v>2461</v>
      </c>
      <c r="C972" s="98">
        <f>VLOOKUP(A972,References!$C:$D,2,0)</f>
        <v>188.40816326530611</v>
      </c>
    </row>
    <row r="973" spans="1:3">
      <c r="A973" t="s">
        <v>2971</v>
      </c>
      <c r="B973" t="s">
        <v>2971</v>
      </c>
      <c r="C973" s="98">
        <f>VLOOKUP(A973,References!$C:$D,2,0)</f>
        <v>144.25</v>
      </c>
    </row>
    <row r="974" spans="1:3">
      <c r="A974" t="s">
        <v>2975</v>
      </c>
      <c r="B974" t="s">
        <v>2975</v>
      </c>
      <c r="C974" s="98">
        <f>VLOOKUP(A974,References!$C:$D,2,0)</f>
        <v>260.79096045197741</v>
      </c>
    </row>
    <row r="975" spans="1:3">
      <c r="A975" t="s">
        <v>2979</v>
      </c>
      <c r="B975" t="s">
        <v>2979</v>
      </c>
      <c r="C975" s="98">
        <f>VLOOKUP(A975,References!$C:$D,2,0)</f>
        <v>192.33333333333334</v>
      </c>
    </row>
    <row r="976" spans="1:3">
      <c r="A976" t="s">
        <v>2983</v>
      </c>
      <c r="B976" t="s">
        <v>2983</v>
      </c>
      <c r="C976" s="98">
        <f>VLOOKUP(A976,References!$C:$D,2,0)</f>
        <v>135.75539568345323</v>
      </c>
    </row>
    <row r="977" spans="1:3">
      <c r="A977" t="s">
        <v>1724</v>
      </c>
      <c r="B977" t="s">
        <v>5213</v>
      </c>
      <c r="C977" s="98">
        <f>VLOOKUP(A977,References!$C:$D,2,0)</f>
        <v>135.75539568345323</v>
      </c>
    </row>
    <row r="978" spans="1:3">
      <c r="A978" t="s">
        <v>2987</v>
      </c>
      <c r="B978" t="s">
        <v>2987</v>
      </c>
      <c r="C978" s="98">
        <f>VLOOKUP(A978,References!$C:$D,2,0)</f>
        <v>260.79096045197741</v>
      </c>
    </row>
    <row r="979" spans="1:3">
      <c r="A979" t="s">
        <v>2258</v>
      </c>
      <c r="B979" t="s">
        <v>2258</v>
      </c>
      <c r="C979" s="98">
        <f>VLOOKUP(A979,References!$C:$D,2,0)</f>
        <v>191.53526970954357</v>
      </c>
    </row>
    <row r="980" spans="1:3">
      <c r="A980" t="s">
        <v>2749</v>
      </c>
      <c r="B980" t="s">
        <v>2749</v>
      </c>
      <c r="C980" s="98">
        <f>VLOOKUP(A980,References!$C:$D,2,0)</f>
        <v>135.75539568345323</v>
      </c>
    </row>
    <row r="981" spans="1:3">
      <c r="A981" t="s">
        <v>2992</v>
      </c>
      <c r="B981" t="s">
        <v>2992</v>
      </c>
      <c r="C981" s="98">
        <f>VLOOKUP(A981,References!$C:$D,2,0)</f>
        <v>217.73584905660377</v>
      </c>
    </row>
    <row r="982" spans="1:3">
      <c r="A982" t="s">
        <v>2996</v>
      </c>
      <c r="B982" t="s">
        <v>5214</v>
      </c>
      <c r="C982" s="98">
        <f>VLOOKUP(A982,References!$C:$D,2,0)</f>
        <v>188.40816326530611</v>
      </c>
    </row>
    <row r="983" spans="1:3">
      <c r="A983" t="s">
        <v>2998</v>
      </c>
      <c r="B983" t="s">
        <v>5215</v>
      </c>
      <c r="C983" s="98">
        <f>VLOOKUP(A983,References!$C:$D,2,0)</f>
        <v>95.938375350140063</v>
      </c>
    </row>
    <row r="984" spans="1:3">
      <c r="A984" t="s">
        <v>3002</v>
      </c>
      <c r="B984" t="s">
        <v>3002</v>
      </c>
      <c r="C984" s="98">
        <f>VLOOKUP(A984,References!$C:$D,2,0)</f>
        <v>231.9597989949749</v>
      </c>
    </row>
    <row r="985" spans="1:3">
      <c r="A985" t="s">
        <v>3005</v>
      </c>
      <c r="B985" t="s">
        <v>3005</v>
      </c>
      <c r="C985" s="98">
        <f>VLOOKUP(A985,References!$C:$D,2,0)</f>
        <v>188.40816326530611</v>
      </c>
    </row>
    <row r="986" spans="1:3">
      <c r="A986" t="s">
        <v>3009</v>
      </c>
      <c r="B986" t="s">
        <v>3009</v>
      </c>
      <c r="C986" s="98">
        <f>VLOOKUP(A986,References!$C:$D,2,0)</f>
        <v>217.73584905660377</v>
      </c>
    </row>
    <row r="987" spans="1:3">
      <c r="A987" t="s">
        <v>3013</v>
      </c>
      <c r="B987" t="s">
        <v>3013</v>
      </c>
      <c r="C987" s="98">
        <f>VLOOKUP(A987,References!$C:$D,2,0)</f>
        <v>97.938375350140063</v>
      </c>
    </row>
    <row r="988" spans="1:3">
      <c r="A988" t="s">
        <v>3017</v>
      </c>
      <c r="B988" t="s">
        <v>3017</v>
      </c>
      <c r="C988" s="98">
        <f>VLOOKUP(A988,References!$C:$D,2,0)</f>
        <v>231.9597989949749</v>
      </c>
    </row>
    <row r="989" spans="1:3">
      <c r="A989" t="s">
        <v>3020</v>
      </c>
      <c r="B989" t="s">
        <v>5216</v>
      </c>
      <c r="C989" s="98">
        <f>VLOOKUP(A989,References!$C:$D,2,0)</f>
        <v>135.75539568345323</v>
      </c>
    </row>
    <row r="990" spans="1:3">
      <c r="A990" t="s">
        <v>3022</v>
      </c>
      <c r="B990" t="s">
        <v>3022</v>
      </c>
      <c r="C990" s="98">
        <f>VLOOKUP(A990,References!$C:$D,2,0)</f>
        <v>188.40816326530611</v>
      </c>
    </row>
    <row r="991" spans="1:3">
      <c r="A991" t="s">
        <v>3026</v>
      </c>
      <c r="B991" t="s">
        <v>3026</v>
      </c>
      <c r="C991" s="98">
        <f>VLOOKUP(A991,References!$C:$D,2,0)</f>
        <v>188.40816326530611</v>
      </c>
    </row>
    <row r="992" spans="1:3">
      <c r="A992" t="s">
        <v>3030</v>
      </c>
      <c r="B992" t="s">
        <v>3030</v>
      </c>
      <c r="C992" s="98">
        <f>VLOOKUP(A992,References!$C:$D,2,0)</f>
        <v>144.25</v>
      </c>
    </row>
    <row r="993" spans="1:3">
      <c r="A993" t="s">
        <v>3034</v>
      </c>
      <c r="B993" t="s">
        <v>3034</v>
      </c>
      <c r="C993" s="98">
        <f>VLOOKUP(A993,References!$C:$D,2,0)</f>
        <v>217.73584905660377</v>
      </c>
    </row>
    <row r="994" spans="1:3">
      <c r="A994" t="s">
        <v>3038</v>
      </c>
      <c r="B994" t="s">
        <v>3038</v>
      </c>
      <c r="C994" s="98">
        <f>VLOOKUP(A994,References!$C:$D,2,0)</f>
        <v>233.13131313131314</v>
      </c>
    </row>
    <row r="995" spans="1:3">
      <c r="A995" t="s">
        <v>3042</v>
      </c>
      <c r="B995" t="s">
        <v>5217</v>
      </c>
      <c r="C995" s="98">
        <f>VLOOKUP(A995,References!$C:$D,2,0)</f>
        <v>233.13131313131314</v>
      </c>
    </row>
    <row r="996" spans="1:3">
      <c r="A996" t="s">
        <v>3044</v>
      </c>
      <c r="B996" t="s">
        <v>3044</v>
      </c>
      <c r="C996" s="98">
        <f>VLOOKUP(A996,References!$C:$D,2,0)</f>
        <v>233.13131313131314</v>
      </c>
    </row>
    <row r="997" spans="1:3">
      <c r="A997" t="s">
        <v>3048</v>
      </c>
      <c r="B997" t="s">
        <v>3048</v>
      </c>
      <c r="C997" s="98">
        <f>VLOOKUP(A997,References!$C:$D,2,0)</f>
        <v>131.73076923076923</v>
      </c>
    </row>
    <row r="998" spans="1:3">
      <c r="A998" t="s">
        <v>3052</v>
      </c>
      <c r="B998" t="s">
        <v>3052</v>
      </c>
      <c r="C998" s="98">
        <f>VLOOKUP(A998,References!$C:$D,2,0)</f>
        <v>233.13131313131314</v>
      </c>
    </row>
    <row r="999" spans="1:3">
      <c r="A999" t="s">
        <v>3055</v>
      </c>
      <c r="B999" t="s">
        <v>3055</v>
      </c>
      <c r="C999" s="98">
        <f>VLOOKUP(A999,References!$C:$D,2,0)</f>
        <v>231.9597989949749</v>
      </c>
    </row>
    <row r="1000" spans="1:3">
      <c r="A1000" t="s">
        <v>3059</v>
      </c>
      <c r="B1000" t="s">
        <v>3059</v>
      </c>
      <c r="C1000" s="98">
        <f>VLOOKUP(A1000,References!$C:$D,2,0)</f>
        <v>129.24528301886792</v>
      </c>
    </row>
    <row r="1001" spans="1:3">
      <c r="A1001" t="s">
        <v>3062</v>
      </c>
      <c r="B1001" t="s">
        <v>5218</v>
      </c>
      <c r="C1001" s="98">
        <f>VLOOKUP(A1001,References!$C:$D,2,0)</f>
        <v>135.75539568345323</v>
      </c>
    </row>
    <row r="1002" spans="1:3">
      <c r="A1002" t="s">
        <v>3064</v>
      </c>
      <c r="B1002" t="s">
        <v>3064</v>
      </c>
      <c r="C1002" s="98">
        <f>VLOOKUP(A1002,References!$C:$D,2,0)</f>
        <v>97.938375350140063</v>
      </c>
    </row>
    <row r="1003" spans="1:3">
      <c r="A1003" t="s">
        <v>2135</v>
      </c>
      <c r="B1003" t="s">
        <v>2135</v>
      </c>
      <c r="C1003" s="98">
        <f>VLOOKUP(A1003,References!$C:$D,2,0)</f>
        <v>191.53526970954357</v>
      </c>
    </row>
    <row r="1004" spans="1:3">
      <c r="A1004" t="s">
        <v>3070</v>
      </c>
      <c r="B1004" t="s">
        <v>3070</v>
      </c>
      <c r="C1004" s="98">
        <f>VLOOKUP(A1004,References!$C:$D,2,0)</f>
        <v>135.75539568345323</v>
      </c>
    </row>
    <row r="1005" spans="1:3">
      <c r="A1005" t="s">
        <v>3074</v>
      </c>
      <c r="B1005" t="s">
        <v>3074</v>
      </c>
      <c r="C1005" s="98">
        <f>VLOOKUP(A1005,References!$C:$D,2,0)</f>
        <v>135.75539568345323</v>
      </c>
    </row>
    <row r="1006" spans="1:3">
      <c r="A1006" t="s">
        <v>1619</v>
      </c>
      <c r="B1006" t="s">
        <v>5219</v>
      </c>
      <c r="C1006" s="98">
        <f>VLOOKUP(A1006,References!$C:$D,2,0)</f>
        <v>231.9597989949749</v>
      </c>
    </row>
    <row r="1007" spans="1:3">
      <c r="A1007" t="s">
        <v>3077</v>
      </c>
      <c r="B1007" t="s">
        <v>3077</v>
      </c>
      <c r="C1007" s="98">
        <f>VLOOKUP(A1007,References!$C:$D,2,0)</f>
        <v>144.25</v>
      </c>
    </row>
    <row r="1008" spans="1:3">
      <c r="A1008" t="s">
        <v>1619</v>
      </c>
      <c r="B1008" t="s">
        <v>5220</v>
      </c>
      <c r="C1008" s="98">
        <f>VLOOKUP(A1008,References!$C:$D,2,0)</f>
        <v>231.9597989949749</v>
      </c>
    </row>
    <row r="1009" spans="1:3">
      <c r="A1009" t="s">
        <v>3082</v>
      </c>
      <c r="B1009" t="s">
        <v>3082</v>
      </c>
      <c r="C1009" s="98">
        <f>VLOOKUP(A1009,References!$C:$D,2,0)</f>
        <v>95.938375350140063</v>
      </c>
    </row>
    <row r="1010" spans="1:3">
      <c r="A1010" t="s">
        <v>3086</v>
      </c>
      <c r="B1010" t="s">
        <v>3086</v>
      </c>
      <c r="C1010" s="98">
        <f>VLOOKUP(A1010,References!$C:$D,2,0)</f>
        <v>231.9597989949749</v>
      </c>
    </row>
    <row r="1011" spans="1:3">
      <c r="A1011" t="s">
        <v>3089</v>
      </c>
      <c r="B1011" t="s">
        <v>5221</v>
      </c>
      <c r="C1011" s="98">
        <f>VLOOKUP(A1011,References!$C:$D,2,0)</f>
        <v>144.25</v>
      </c>
    </row>
    <row r="1012" spans="1:3">
      <c r="A1012" t="s">
        <v>3091</v>
      </c>
      <c r="B1012" t="s">
        <v>3091</v>
      </c>
      <c r="C1012" s="98">
        <f>VLOOKUP(A1012,References!$C:$D,2,0)</f>
        <v>191.53526970954357</v>
      </c>
    </row>
    <row r="1013" spans="1:3">
      <c r="A1013" t="s">
        <v>3095</v>
      </c>
      <c r="B1013" t="s">
        <v>3095</v>
      </c>
      <c r="C1013" s="98">
        <f>VLOOKUP(A1013,References!$C:$D,2,0)</f>
        <v>144.25</v>
      </c>
    </row>
    <row r="1014" spans="1:3">
      <c r="A1014" t="s">
        <v>3099</v>
      </c>
      <c r="B1014" t="s">
        <v>3099</v>
      </c>
      <c r="C1014" s="98">
        <f>VLOOKUP(A1014,References!$C:$D,2,0)</f>
        <v>97.938375350140063</v>
      </c>
    </row>
    <row r="1015" spans="1:3">
      <c r="A1015" t="s">
        <v>3103</v>
      </c>
      <c r="B1015" t="s">
        <v>3103</v>
      </c>
      <c r="C1015" s="98">
        <f>VLOOKUP(A1015,References!$C:$D,2,0)</f>
        <v>234.31472081218274</v>
      </c>
    </row>
    <row r="1016" spans="1:3">
      <c r="A1016" t="s">
        <v>3424</v>
      </c>
      <c r="B1016" t="s">
        <v>3424</v>
      </c>
      <c r="C1016" s="98">
        <f>VLOOKUP(A1016,References!$C:$D,2,0)</f>
        <v>231.9597989949749</v>
      </c>
    </row>
    <row r="1017" spans="1:3">
      <c r="A1017" t="s">
        <v>3109</v>
      </c>
      <c r="B1017" t="s">
        <v>5222</v>
      </c>
      <c r="C1017" s="98">
        <f>VLOOKUP(A1017,References!$C:$D,2,0)</f>
        <v>191.40816326530611</v>
      </c>
    </row>
    <row r="1018" spans="1:3">
      <c r="A1018" t="s">
        <v>3112</v>
      </c>
      <c r="B1018" t="s">
        <v>3112</v>
      </c>
      <c r="C1018" s="98">
        <f>VLOOKUP(A1018,References!$C:$D,2,0)</f>
        <v>192.33333333333334</v>
      </c>
    </row>
    <row r="1019" spans="1:3">
      <c r="A1019" t="s">
        <v>3116</v>
      </c>
      <c r="B1019" t="s">
        <v>3116</v>
      </c>
      <c r="C1019" s="98">
        <f>VLOOKUP(A1019,References!$C:$D,2,0)</f>
        <v>234.31472081218274</v>
      </c>
    </row>
    <row r="1020" spans="1:3">
      <c r="A1020" t="s">
        <v>3119</v>
      </c>
      <c r="B1020" t="s">
        <v>3119</v>
      </c>
      <c r="C1020" s="98">
        <f>VLOOKUP(A1020,References!$C:$D,2,0)</f>
        <v>144.25</v>
      </c>
    </row>
    <row r="1021" spans="1:3">
      <c r="A1021" t="s">
        <v>3123</v>
      </c>
      <c r="B1021" t="s">
        <v>3123</v>
      </c>
      <c r="C1021" s="98">
        <f>VLOOKUP(A1021,References!$C:$D,2,0)</f>
        <v>144.25</v>
      </c>
    </row>
    <row r="1022" spans="1:3">
      <c r="A1022" t="s">
        <v>3127</v>
      </c>
      <c r="B1022" t="s">
        <v>3127</v>
      </c>
      <c r="C1022" s="98">
        <f>VLOOKUP(A1022,References!$C:$D,2,0)</f>
        <v>95.938375350140063</v>
      </c>
    </row>
    <row r="1023" spans="1:3">
      <c r="A1023" t="s">
        <v>3130</v>
      </c>
      <c r="B1023" t="s">
        <v>5223</v>
      </c>
      <c r="C1023" s="98">
        <f>VLOOKUP(A1023,References!$C:$D,2,0)</f>
        <v>188.40816326530611</v>
      </c>
    </row>
    <row r="1024" spans="1:3">
      <c r="A1024" t="s">
        <v>2582</v>
      </c>
      <c r="B1024" t="s">
        <v>5224</v>
      </c>
      <c r="C1024" s="98">
        <f>VLOOKUP(A1024,References!$C:$D,2,0)</f>
        <v>135.75539568345323</v>
      </c>
    </row>
    <row r="1025" spans="1:3">
      <c r="A1025" t="s">
        <v>3132</v>
      </c>
      <c r="B1025" t="s">
        <v>3132</v>
      </c>
      <c r="C1025" s="98">
        <f>VLOOKUP(A1025,References!$C:$D,2,0)</f>
        <v>135.75539568345323</v>
      </c>
    </row>
    <row r="1026" spans="1:3">
      <c r="A1026" t="s">
        <v>2216</v>
      </c>
      <c r="B1026" t="s">
        <v>5225</v>
      </c>
      <c r="C1026" s="98">
        <f>VLOOKUP(A1026,References!$C:$D,2,0)</f>
        <v>114.16666666666667</v>
      </c>
    </row>
    <row r="1027" spans="1:3">
      <c r="A1027" t="s">
        <v>3136</v>
      </c>
      <c r="B1027" t="s">
        <v>3136</v>
      </c>
      <c r="C1027" s="98">
        <f>VLOOKUP(A1027,References!$C:$D,2,0)</f>
        <v>188.40816326530611</v>
      </c>
    </row>
    <row r="1028" spans="1:3">
      <c r="A1028" t="s">
        <v>3140</v>
      </c>
      <c r="B1028" t="s">
        <v>3140</v>
      </c>
      <c r="C1028" s="98">
        <f>VLOOKUP(A1028,References!$C:$D,2,0)</f>
        <v>188.40816326530611</v>
      </c>
    </row>
    <row r="1029" spans="1:3">
      <c r="A1029" t="s">
        <v>3144</v>
      </c>
      <c r="B1029" t="s">
        <v>3144</v>
      </c>
      <c r="C1029" s="98">
        <f>VLOOKUP(A1029,References!$C:$D,2,0)</f>
        <v>231.9597989949749</v>
      </c>
    </row>
    <row r="1030" spans="1:3">
      <c r="A1030" t="s">
        <v>3148</v>
      </c>
      <c r="B1030" t="s">
        <v>3148</v>
      </c>
      <c r="C1030" s="98">
        <f>VLOOKUP(A1030,References!$C:$D,2,0)</f>
        <v>190.74380165289256</v>
      </c>
    </row>
    <row r="1031" spans="1:3">
      <c r="A1031" t="s">
        <v>3152</v>
      </c>
      <c r="B1031" t="s">
        <v>3152</v>
      </c>
      <c r="C1031" s="98">
        <f>VLOOKUP(A1031,References!$C:$D,2,0)</f>
        <v>3</v>
      </c>
    </row>
    <row r="1032" spans="1:3">
      <c r="A1032" t="s">
        <v>3155</v>
      </c>
      <c r="B1032" t="s">
        <v>3155</v>
      </c>
      <c r="C1032" s="98">
        <f>VLOOKUP(A1032,References!$C:$D,2,0)</f>
        <v>192.33333333333334</v>
      </c>
    </row>
    <row r="1033" spans="1:3">
      <c r="A1033" t="s">
        <v>3159</v>
      </c>
      <c r="B1033" t="s">
        <v>3159</v>
      </c>
      <c r="C1033" s="98">
        <f>VLOOKUP(A1033,References!$C:$D,2,0)</f>
        <v>233.13131313131314</v>
      </c>
    </row>
    <row r="1034" spans="1:3">
      <c r="A1034" t="s">
        <v>3163</v>
      </c>
      <c r="B1034" t="s">
        <v>3163</v>
      </c>
      <c r="C1034" s="98">
        <f>VLOOKUP(A1034,References!$C:$D,2,0)</f>
        <v>131.73076923076923</v>
      </c>
    </row>
    <row r="1035" spans="1:3">
      <c r="A1035" t="s">
        <v>3167</v>
      </c>
      <c r="B1035" t="s">
        <v>5226</v>
      </c>
      <c r="C1035" s="98">
        <f>VLOOKUP(A1035,References!$C:$D,2,0)</f>
        <v>188.40816326530611</v>
      </c>
    </row>
    <row r="1036" spans="1:3">
      <c r="A1036" t="s">
        <v>3168</v>
      </c>
      <c r="B1036" t="s">
        <v>5227</v>
      </c>
      <c r="C1036" s="98">
        <f>VLOOKUP(A1036,References!$C:$D,2,0)</f>
        <v>135.75539568345323</v>
      </c>
    </row>
    <row r="1037" spans="1:3">
      <c r="A1037" t="s">
        <v>3095</v>
      </c>
      <c r="B1037" t="s">
        <v>5228</v>
      </c>
      <c r="C1037" s="98">
        <f>VLOOKUP(A1037,References!$C:$D,2,0)</f>
        <v>144.25</v>
      </c>
    </row>
    <row r="1038" spans="1:3">
      <c r="A1038" t="s">
        <v>3170</v>
      </c>
      <c r="B1038" t="s">
        <v>3170</v>
      </c>
      <c r="C1038" s="98">
        <f>VLOOKUP(A1038,References!$C:$D,2,0)</f>
        <v>95.938375350140063</v>
      </c>
    </row>
    <row r="1039" spans="1:3">
      <c r="A1039" t="s">
        <v>3174</v>
      </c>
      <c r="B1039" t="s">
        <v>3174</v>
      </c>
      <c r="C1039" s="98">
        <f>VLOOKUP(A1039,References!$C:$D,2,0)</f>
        <v>191.53526970954357</v>
      </c>
    </row>
    <row r="1040" spans="1:3">
      <c r="A1040" t="s">
        <v>3178</v>
      </c>
      <c r="B1040" t="s">
        <v>3178</v>
      </c>
      <c r="C1040" s="98">
        <f>VLOOKUP(A1040,References!$C:$D,2,0)</f>
        <v>144.25</v>
      </c>
    </row>
    <row r="1041" spans="1:3">
      <c r="A1041" t="s">
        <v>3182</v>
      </c>
      <c r="B1041" t="s">
        <v>3182</v>
      </c>
      <c r="C1041" s="98">
        <f>VLOOKUP(A1041,References!$C:$D,2,0)</f>
        <v>231.9597989949749</v>
      </c>
    </row>
    <row r="1042" spans="1:3">
      <c r="A1042" t="s">
        <v>3185</v>
      </c>
      <c r="B1042" t="s">
        <v>3185</v>
      </c>
      <c r="C1042" s="98">
        <f>VLOOKUP(A1042,References!$C:$D,2,0)</f>
        <v>188.40816326530611</v>
      </c>
    </row>
    <row r="1043" spans="1:3">
      <c r="A1043" t="s">
        <v>2346</v>
      </c>
      <c r="B1043" t="s">
        <v>5229</v>
      </c>
      <c r="C1043" s="98">
        <f>VLOOKUP(A1043,References!$C:$D,2,0)</f>
        <v>231.9597989949749</v>
      </c>
    </row>
    <row r="1044" spans="1:3">
      <c r="A1044" t="s">
        <v>1725</v>
      </c>
      <c r="B1044" t="s">
        <v>5230</v>
      </c>
      <c r="C1044" s="98">
        <f>VLOOKUP(A1044,References!$C:$D,2,0)</f>
        <v>135.75539568345323</v>
      </c>
    </row>
    <row r="1045" spans="1:3">
      <c r="A1045" t="s">
        <v>1618</v>
      </c>
      <c r="B1045" t="s">
        <v>5231</v>
      </c>
      <c r="C1045" s="98">
        <f>VLOOKUP(A1045,References!$C:$D,2,0)</f>
        <v>231.9597989949749</v>
      </c>
    </row>
    <row r="1046" spans="1:3">
      <c r="A1046" t="s">
        <v>3190</v>
      </c>
      <c r="B1046" t="s">
        <v>3190</v>
      </c>
      <c r="C1046" s="98">
        <f>VLOOKUP(A1046,References!$C:$D,2,0)</f>
        <v>260.79096045197741</v>
      </c>
    </row>
    <row r="1047" spans="1:3">
      <c r="A1047" t="s">
        <v>3194</v>
      </c>
      <c r="B1047" t="s">
        <v>3194</v>
      </c>
      <c r="C1047" s="98">
        <f>VLOOKUP(A1047,References!$C:$D,2,0)</f>
        <v>231.9597989949749</v>
      </c>
    </row>
    <row r="1048" spans="1:3">
      <c r="A1048" t="s">
        <v>3089</v>
      </c>
      <c r="B1048" t="s">
        <v>3089</v>
      </c>
      <c r="C1048" s="98">
        <f>VLOOKUP(A1048,References!$C:$D,2,0)</f>
        <v>144.25</v>
      </c>
    </row>
    <row r="1049" spans="1:3">
      <c r="A1049" t="s">
        <v>3200</v>
      </c>
      <c r="B1049" t="s">
        <v>3200</v>
      </c>
      <c r="C1049" s="98">
        <f>VLOOKUP(A1049,References!$C:$D,2,0)</f>
        <v>217.73584905660377</v>
      </c>
    </row>
    <row r="1050" spans="1:3">
      <c r="A1050" t="s">
        <v>3204</v>
      </c>
      <c r="B1050" t="s">
        <v>3204</v>
      </c>
      <c r="C1050" s="98">
        <f>VLOOKUP(A1050,References!$C:$D,2,0)</f>
        <v>192.33333333333334</v>
      </c>
    </row>
    <row r="1051" spans="1:3">
      <c r="A1051" t="s">
        <v>3208</v>
      </c>
      <c r="B1051" t="s">
        <v>3208</v>
      </c>
      <c r="C1051" s="98">
        <f>VLOOKUP(A1051,References!$C:$D,2,0)</f>
        <v>231.9597989949749</v>
      </c>
    </row>
    <row r="1052" spans="1:3">
      <c r="A1052" t="s">
        <v>3211</v>
      </c>
      <c r="B1052" t="s">
        <v>3211</v>
      </c>
      <c r="C1052" s="98">
        <f>VLOOKUP(A1052,References!$C:$D,2,0)</f>
        <v>2</v>
      </c>
    </row>
    <row r="1053" spans="1:3">
      <c r="A1053" t="s">
        <v>3214</v>
      </c>
      <c r="B1053" t="s">
        <v>3214</v>
      </c>
      <c r="C1053" s="98">
        <f>VLOOKUP(A1053,References!$C:$D,2,0)</f>
        <v>231.9597989949749</v>
      </c>
    </row>
    <row r="1054" spans="1:3">
      <c r="A1054" t="s">
        <v>3218</v>
      </c>
      <c r="B1054" t="s">
        <v>3218</v>
      </c>
      <c r="C1054" s="98">
        <f>VLOOKUP(A1054,References!$C:$D,2,0)</f>
        <v>188.40816326530611</v>
      </c>
    </row>
    <row r="1055" spans="1:3">
      <c r="A1055" t="s">
        <v>3222</v>
      </c>
      <c r="B1055" t="s">
        <v>3222</v>
      </c>
      <c r="C1055" s="98">
        <f>VLOOKUP(A1055,References!$C:$D,2,0)</f>
        <v>144.25</v>
      </c>
    </row>
    <row r="1056" spans="1:3">
      <c r="A1056" t="s">
        <v>3226</v>
      </c>
      <c r="B1056" t="s">
        <v>3226</v>
      </c>
      <c r="C1056" s="98">
        <f>VLOOKUP(A1056,References!$C:$D,2,0)</f>
        <v>191.53526970954357</v>
      </c>
    </row>
    <row r="1057" spans="1:3">
      <c r="A1057" t="s">
        <v>3230</v>
      </c>
      <c r="B1057" t="s">
        <v>3230</v>
      </c>
      <c r="C1057" s="98">
        <f>VLOOKUP(A1057,References!$C:$D,2,0)</f>
        <v>190.74380165289256</v>
      </c>
    </row>
    <row r="1058" spans="1:3">
      <c r="A1058" t="s">
        <v>3242</v>
      </c>
      <c r="B1058" t="s">
        <v>3242</v>
      </c>
      <c r="C1058" s="98">
        <f>VLOOKUP(A1058,References!$C:$D,2,0)</f>
        <v>234.31472081218274</v>
      </c>
    </row>
    <row r="1059" spans="1:3">
      <c r="A1059" t="s">
        <v>3234</v>
      </c>
      <c r="B1059" t="s">
        <v>3234</v>
      </c>
      <c r="C1059" s="98">
        <f>VLOOKUP(A1059,References!$C:$D,2,0)</f>
        <v>231.9597989949749</v>
      </c>
    </row>
    <row r="1060" spans="1:3">
      <c r="A1060" t="s">
        <v>3238</v>
      </c>
      <c r="B1060" t="s">
        <v>3238</v>
      </c>
      <c r="C1060" s="98">
        <f>VLOOKUP(A1060,References!$C:$D,2,0)</f>
        <v>260.79096045197741</v>
      </c>
    </row>
    <row r="1061" spans="1:3">
      <c r="A1061" t="s">
        <v>3245</v>
      </c>
      <c r="B1061" t="s">
        <v>3245</v>
      </c>
      <c r="C1061" s="98">
        <f>VLOOKUP(A1061,References!$C:$D,2,0)</f>
        <v>188.40816326530611</v>
      </c>
    </row>
    <row r="1062" spans="1:3">
      <c r="A1062" t="s">
        <v>2288</v>
      </c>
      <c r="B1062" t="s">
        <v>5232</v>
      </c>
      <c r="C1062" s="98">
        <f>VLOOKUP(A1062,References!$C:$D,2,0)</f>
        <v>95.938375350140063</v>
      </c>
    </row>
    <row r="1063" spans="1:3">
      <c r="A1063" t="s">
        <v>3249</v>
      </c>
      <c r="B1063" t="s">
        <v>3249</v>
      </c>
      <c r="C1063" s="98">
        <f>VLOOKUP(A1063,References!$C:$D,2,0)</f>
        <v>135.75539568345323</v>
      </c>
    </row>
    <row r="1064" spans="1:3">
      <c r="A1064" t="s">
        <v>3109</v>
      </c>
      <c r="B1064" t="s">
        <v>5233</v>
      </c>
      <c r="C1064" s="98">
        <f>VLOOKUP(A1064,References!$C:$D,2,0)</f>
        <v>191.40816326530611</v>
      </c>
    </row>
    <row r="1065" spans="1:3">
      <c r="A1065" t="s">
        <v>3254</v>
      </c>
      <c r="B1065" t="s">
        <v>3254</v>
      </c>
      <c r="C1065" s="98">
        <f>VLOOKUP(A1065,References!$C:$D,2,0)</f>
        <v>260.79096045197741</v>
      </c>
    </row>
    <row r="1066" spans="1:3">
      <c r="A1066" t="s">
        <v>3258</v>
      </c>
      <c r="B1066" t="s">
        <v>3258</v>
      </c>
      <c r="C1066" s="98">
        <f>VLOOKUP(A1066,References!$C:$D,2,0)</f>
        <v>234.31472081218274</v>
      </c>
    </row>
    <row r="1067" spans="1:3">
      <c r="A1067" t="s">
        <v>3261</v>
      </c>
      <c r="B1067" t="s">
        <v>3261</v>
      </c>
      <c r="C1067" s="98">
        <f>VLOOKUP(A1067,References!$C:$D,2,0)</f>
        <v>144.25</v>
      </c>
    </row>
    <row r="1068" spans="1:3">
      <c r="A1068" t="s">
        <v>3265</v>
      </c>
      <c r="B1068" t="s">
        <v>3265</v>
      </c>
      <c r="C1068" s="98">
        <f>VLOOKUP(A1068,References!$C:$D,2,0)</f>
        <v>188.40816326530611</v>
      </c>
    </row>
    <row r="1069" spans="1:3">
      <c r="A1069" t="s">
        <v>3269</v>
      </c>
      <c r="B1069" t="s">
        <v>5234</v>
      </c>
      <c r="C1069" s="98">
        <f>VLOOKUP(A1069,References!$C:$D,2,0)</f>
        <v>144.25</v>
      </c>
    </row>
    <row r="1070" spans="1:3">
      <c r="A1070" t="s">
        <v>3271</v>
      </c>
      <c r="B1070" t="s">
        <v>3271</v>
      </c>
      <c r="C1070" s="98">
        <f>VLOOKUP(A1070,References!$C:$D,2,0)</f>
        <v>233.13131313131314</v>
      </c>
    </row>
    <row r="1071" spans="1:3">
      <c r="A1071" t="s">
        <v>3275</v>
      </c>
      <c r="B1071" t="s">
        <v>3275</v>
      </c>
      <c r="C1071" s="98">
        <f>VLOOKUP(A1071,References!$C:$D,2,0)</f>
        <v>233.13131313131314</v>
      </c>
    </row>
    <row r="1072" spans="1:3">
      <c r="A1072" t="s">
        <v>1996</v>
      </c>
      <c r="B1072" t="s">
        <v>1996</v>
      </c>
      <c r="C1072" s="98">
        <f>VLOOKUP(A1072,References!$C:$D,2,0)</f>
        <v>231.9597989949749</v>
      </c>
    </row>
    <row r="1073" spans="1:3">
      <c r="A1073" t="s">
        <v>3279</v>
      </c>
      <c r="B1073" t="s">
        <v>3279</v>
      </c>
      <c r="C1073" s="98">
        <f>VLOOKUP(A1073,References!$C:$D,2,0)</f>
        <v>131.73076923076923</v>
      </c>
    </row>
    <row r="1074" spans="1:3">
      <c r="A1074" t="s">
        <v>3283</v>
      </c>
      <c r="B1074" t="s">
        <v>3283</v>
      </c>
      <c r="C1074" s="98">
        <f>VLOOKUP(A1074,References!$C:$D,2,0)</f>
        <v>190.74380165289256</v>
      </c>
    </row>
    <row r="1075" spans="1:3">
      <c r="A1075" t="s">
        <v>3287</v>
      </c>
      <c r="B1075" t="s">
        <v>3287</v>
      </c>
      <c r="C1075" s="98">
        <f>VLOOKUP(A1075,References!$C:$D,2,0)</f>
        <v>196.42553191489361</v>
      </c>
    </row>
    <row r="1076" spans="1:3">
      <c r="A1076" t="s">
        <v>3291</v>
      </c>
      <c r="B1076" t="s">
        <v>3291</v>
      </c>
      <c r="C1076" s="98">
        <f>VLOOKUP(A1076,References!$C:$D,2,0)</f>
        <v>192.33333333333334</v>
      </c>
    </row>
    <row r="1077" spans="1:3">
      <c r="A1077" t="s">
        <v>3295</v>
      </c>
      <c r="B1077" t="s">
        <v>3295</v>
      </c>
      <c r="C1077" s="98">
        <f>VLOOKUP(A1077,References!$C:$D,2,0)</f>
        <v>188.40816326530611</v>
      </c>
    </row>
    <row r="1078" spans="1:3">
      <c r="A1078" t="s">
        <v>3299</v>
      </c>
      <c r="B1078" t="s">
        <v>3299</v>
      </c>
      <c r="C1078" s="98">
        <f>VLOOKUP(A1078,References!$C:$D,2,0)</f>
        <v>233.13131313131314</v>
      </c>
    </row>
    <row r="1079" spans="1:3">
      <c r="A1079" t="s">
        <v>3301</v>
      </c>
      <c r="B1079" t="s">
        <v>3301</v>
      </c>
      <c r="C1079" s="98">
        <f>VLOOKUP(A1079,References!$C:$D,2,0)</f>
        <v>3</v>
      </c>
    </row>
    <row r="1080" spans="1:3">
      <c r="A1080" t="s">
        <v>3304</v>
      </c>
      <c r="B1080" t="s">
        <v>3304</v>
      </c>
      <c r="C1080" s="98">
        <f>VLOOKUP(A1080,References!$C:$D,2,0)</f>
        <v>233.13131313131314</v>
      </c>
    </row>
    <row r="1081" spans="1:3">
      <c r="A1081" t="s">
        <v>3308</v>
      </c>
      <c r="B1081" t="s">
        <v>3308</v>
      </c>
      <c r="C1081" s="98">
        <f>VLOOKUP(A1081,References!$C:$D,2,0)</f>
        <v>188.40816326530611</v>
      </c>
    </row>
    <row r="1082" spans="1:3">
      <c r="A1082" t="s">
        <v>3208</v>
      </c>
      <c r="B1082" t="s">
        <v>5235</v>
      </c>
      <c r="C1082" s="98">
        <f>VLOOKUP(A1082,References!$C:$D,2,0)</f>
        <v>231.9597989949749</v>
      </c>
    </row>
    <row r="1083" spans="1:3">
      <c r="A1083" t="s">
        <v>3312</v>
      </c>
      <c r="B1083" t="s">
        <v>3312</v>
      </c>
      <c r="C1083" s="98">
        <f>VLOOKUP(A1083,References!$C:$D,2,0)</f>
        <v>260.79096045197741</v>
      </c>
    </row>
    <row r="1084" spans="1:3">
      <c r="A1084" t="s">
        <v>3316</v>
      </c>
      <c r="B1084" t="s">
        <v>3316</v>
      </c>
      <c r="C1084" s="98">
        <f>VLOOKUP(A1084,References!$C:$D,2,0)</f>
        <v>2</v>
      </c>
    </row>
    <row r="1085" spans="1:3">
      <c r="A1085" t="s">
        <v>3319</v>
      </c>
      <c r="B1085" t="s">
        <v>3319</v>
      </c>
      <c r="C1085" s="98">
        <f>VLOOKUP(A1085,References!$C:$D,2,0)</f>
        <v>188.40816326530611</v>
      </c>
    </row>
    <row r="1086" spans="1:3">
      <c r="A1086" t="s">
        <v>3323</v>
      </c>
      <c r="B1086" t="s">
        <v>3323</v>
      </c>
      <c r="C1086" s="98">
        <f>VLOOKUP(A1086,References!$C:$D,2,0)</f>
        <v>231.9597989949749</v>
      </c>
    </row>
    <row r="1087" spans="1:3">
      <c r="A1087" t="s">
        <v>3327</v>
      </c>
      <c r="B1087" t="s">
        <v>3327</v>
      </c>
      <c r="C1087" s="98">
        <f>VLOOKUP(A1087,References!$C:$D,2,0)</f>
        <v>260.79096045197741</v>
      </c>
    </row>
    <row r="1088" spans="1:3">
      <c r="A1088" t="s">
        <v>3330</v>
      </c>
      <c r="B1088" t="s">
        <v>5236</v>
      </c>
      <c r="C1088" s="98">
        <f>VLOOKUP(A1088,References!$C:$D,2,0)</f>
        <v>233.13131313131314</v>
      </c>
    </row>
    <row r="1089" spans="1:3">
      <c r="A1089" t="s">
        <v>3334</v>
      </c>
      <c r="B1089" t="s">
        <v>3334</v>
      </c>
      <c r="C1089" s="98">
        <f>VLOOKUP(A1089,References!$C:$D,2,0)</f>
        <v>233.13131313131314</v>
      </c>
    </row>
    <row r="1090" spans="1:3">
      <c r="A1090" t="s">
        <v>3338</v>
      </c>
      <c r="B1090" t="s">
        <v>3338</v>
      </c>
      <c r="C1090" s="98">
        <f>VLOOKUP(A1090,References!$C:$D,2,0)</f>
        <v>190.74380165289256</v>
      </c>
    </row>
    <row r="1091" spans="1:3">
      <c r="A1091" t="s">
        <v>3342</v>
      </c>
      <c r="B1091" t="s">
        <v>3342</v>
      </c>
      <c r="C1091" s="98">
        <f>VLOOKUP(A1091,References!$C:$D,2,0)</f>
        <v>144.25</v>
      </c>
    </row>
    <row r="1092" spans="1:3">
      <c r="A1092" t="s">
        <v>3346</v>
      </c>
      <c r="B1092" t="s">
        <v>3346</v>
      </c>
      <c r="C1092" s="98">
        <f>VLOOKUP(A1092,References!$C:$D,2,0)</f>
        <v>233.13131313131314</v>
      </c>
    </row>
    <row r="1093" spans="1:3">
      <c r="A1093" t="s">
        <v>2461</v>
      </c>
      <c r="B1093" t="s">
        <v>5237</v>
      </c>
      <c r="C1093" s="98">
        <f>VLOOKUP(A1093,References!$C:$D,2,0)</f>
        <v>188.40816326530611</v>
      </c>
    </row>
    <row r="1094" spans="1:3">
      <c r="A1094" t="s">
        <v>3350</v>
      </c>
      <c r="B1094" t="s">
        <v>3350</v>
      </c>
      <c r="C1094" s="98">
        <f>VLOOKUP(A1094,References!$C:$D,2,0)</f>
        <v>231.9597989949749</v>
      </c>
    </row>
    <row r="1095" spans="1:3">
      <c r="A1095" t="s">
        <v>2695</v>
      </c>
      <c r="B1095" t="s">
        <v>5238</v>
      </c>
      <c r="C1095" s="98">
        <f>VLOOKUP(A1095,References!$C:$D,2,0)</f>
        <v>188.40816326530611</v>
      </c>
    </row>
    <row r="1096" spans="1:3">
      <c r="A1096" t="s">
        <v>3354</v>
      </c>
      <c r="B1096" t="s">
        <v>3354</v>
      </c>
      <c r="C1096" s="98">
        <f>VLOOKUP(A1096,References!$C:$D,2,0)</f>
        <v>129.24528301886792</v>
      </c>
    </row>
    <row r="1097" spans="1:3">
      <c r="A1097" t="s">
        <v>3358</v>
      </c>
      <c r="B1097" t="s">
        <v>3358</v>
      </c>
      <c r="C1097" s="98">
        <f>VLOOKUP(A1097,References!$C:$D,2,0)</f>
        <v>131.73076923076923</v>
      </c>
    </row>
    <row r="1098" spans="1:3">
      <c r="A1098" t="s">
        <v>3362</v>
      </c>
      <c r="B1098" t="s">
        <v>3362</v>
      </c>
      <c r="C1098" s="98">
        <f>VLOOKUP(A1098,References!$C:$D,2,0)</f>
        <v>188.40816326530611</v>
      </c>
    </row>
    <row r="1099" spans="1:3">
      <c r="A1099" t="s">
        <v>3366</v>
      </c>
      <c r="B1099" t="s">
        <v>5239</v>
      </c>
      <c r="C1099" s="98">
        <f>VLOOKUP(A1099,References!$C:$D,2,0)</f>
        <v>97.938375350140063</v>
      </c>
    </row>
    <row r="1100" spans="1:3">
      <c r="A1100" t="s">
        <v>3368</v>
      </c>
      <c r="B1100" t="s">
        <v>3368</v>
      </c>
      <c r="C1100" s="98">
        <f>VLOOKUP(A1100,References!$C:$D,2,0)</f>
        <v>233.13131313131314</v>
      </c>
    </row>
    <row r="1101" spans="1:3">
      <c r="A1101" t="s">
        <v>3372</v>
      </c>
      <c r="B1101" t="s">
        <v>3372</v>
      </c>
      <c r="C1101" s="98">
        <f>VLOOKUP(A1101,References!$C:$D,2,0)</f>
        <v>135.75539568345323</v>
      </c>
    </row>
    <row r="1102" spans="1:3">
      <c r="A1102" t="s">
        <v>3375</v>
      </c>
      <c r="B1102" t="s">
        <v>5240</v>
      </c>
      <c r="C1102" s="98">
        <f>VLOOKUP(A1102,References!$C:$D,2,0)</f>
        <v>234.31472081218274</v>
      </c>
    </row>
    <row r="1103" spans="1:3">
      <c r="A1103" t="s">
        <v>3378</v>
      </c>
      <c r="B1103" t="s">
        <v>5241</v>
      </c>
      <c r="C1103" s="98">
        <f>VLOOKUP(A1103,References!$C:$D,2,0)</f>
        <v>217.73584905660377</v>
      </c>
    </row>
    <row r="1104" spans="1:3">
      <c r="A1104" t="s">
        <v>3382</v>
      </c>
      <c r="B1104" t="s">
        <v>3382</v>
      </c>
      <c r="C1104" s="98">
        <f>VLOOKUP(A1104,References!$C:$D,2,0)</f>
        <v>131.73076923076923</v>
      </c>
    </row>
    <row r="1105" spans="1:3">
      <c r="A1105" t="s">
        <v>2830</v>
      </c>
      <c r="B1105" t="s">
        <v>2830</v>
      </c>
      <c r="C1105" s="98">
        <f>VLOOKUP(A1105,References!$C:$D,2,0)</f>
        <v>231.9597989949749</v>
      </c>
    </row>
    <row r="1106" spans="1:3">
      <c r="A1106" t="s">
        <v>3387</v>
      </c>
      <c r="B1106" t="s">
        <v>3387</v>
      </c>
      <c r="C1106" s="98">
        <f>VLOOKUP(A1106,References!$C:$D,2,0)</f>
        <v>188.40816326530611</v>
      </c>
    </row>
    <row r="1107" spans="1:3">
      <c r="A1107" t="s">
        <v>2421</v>
      </c>
      <c r="B1107" t="s">
        <v>2421</v>
      </c>
      <c r="C1107" s="98">
        <f>VLOOKUP(A1107,References!$C:$D,2,0)</f>
        <v>231.9597989949749</v>
      </c>
    </row>
    <row r="1108" spans="1:3">
      <c r="A1108" t="s">
        <v>3392</v>
      </c>
      <c r="B1108" t="s">
        <v>3392</v>
      </c>
      <c r="C1108" s="98">
        <f>VLOOKUP(A1108,References!$C:$D,2,0)</f>
        <v>260.79096045197741</v>
      </c>
    </row>
    <row r="1109" spans="1:3">
      <c r="A1109" t="s">
        <v>3396</v>
      </c>
      <c r="B1109" t="s">
        <v>3396</v>
      </c>
      <c r="C1109" s="98">
        <f>VLOOKUP(A1109,References!$C:$D,2,0)</f>
        <v>233.13131313131314</v>
      </c>
    </row>
    <row r="1110" spans="1:3">
      <c r="A1110" t="s">
        <v>3399</v>
      </c>
      <c r="B1110" t="s">
        <v>3399</v>
      </c>
      <c r="C1110" s="98">
        <f>VLOOKUP(A1110,References!$C:$D,2,0)</f>
        <v>231.9597989949749</v>
      </c>
    </row>
    <row r="1111" spans="1:3">
      <c r="A1111" t="s">
        <v>1892</v>
      </c>
      <c r="B1111" t="s">
        <v>1892</v>
      </c>
      <c r="C1111" s="98">
        <f>VLOOKUP(A1111,References!$C:$D,2,0)</f>
        <v>217.73584905660377</v>
      </c>
    </row>
    <row r="1112" spans="1:3">
      <c r="A1112" t="s">
        <v>3404</v>
      </c>
      <c r="B1112" t="s">
        <v>3404</v>
      </c>
      <c r="C1112" s="98">
        <f>VLOOKUP(A1112,References!$C:$D,2,0)</f>
        <v>144.25</v>
      </c>
    </row>
    <row r="1113" spans="1:3">
      <c r="A1113" t="s">
        <v>3408</v>
      </c>
      <c r="B1113" t="s">
        <v>3408</v>
      </c>
      <c r="C1113" s="98">
        <f>VLOOKUP(A1113,References!$C:$D,2,0)</f>
        <v>190.74380165289256</v>
      </c>
    </row>
    <row r="1114" spans="1:3">
      <c r="A1114" t="s">
        <v>3412</v>
      </c>
      <c r="B1114" t="s">
        <v>3412</v>
      </c>
      <c r="C1114" s="98">
        <f>VLOOKUP(A1114,References!$C:$D,2,0)</f>
        <v>234.9597989949749</v>
      </c>
    </row>
    <row r="1115" spans="1:3">
      <c r="A1115" t="s">
        <v>3415</v>
      </c>
      <c r="B1115" t="s">
        <v>5242</v>
      </c>
      <c r="C1115" s="98">
        <f>VLOOKUP(A1115,References!$C:$D,2,0)</f>
        <v>188.40816326530611</v>
      </c>
    </row>
    <row r="1116" spans="1:3">
      <c r="A1116" t="s">
        <v>2633</v>
      </c>
      <c r="B1116" t="s">
        <v>5243</v>
      </c>
      <c r="C1116" s="98">
        <f>VLOOKUP(A1116,References!$C:$D,2,0)</f>
        <v>135.75539568345323</v>
      </c>
    </row>
    <row r="1117" spans="1:3">
      <c r="A1117" t="s">
        <v>2882</v>
      </c>
      <c r="B1117" t="s">
        <v>2882</v>
      </c>
      <c r="C1117" s="98">
        <f>VLOOKUP(A1117,References!$C:$D,2,0)</f>
        <v>144.25</v>
      </c>
    </row>
    <row r="1118" spans="1:3">
      <c r="A1118" t="s">
        <v>3417</v>
      </c>
      <c r="B1118" t="s">
        <v>3417</v>
      </c>
      <c r="C1118" s="98">
        <f>VLOOKUP(A1118,References!$C:$D,2,0)</f>
        <v>234.31472081218274</v>
      </c>
    </row>
    <row r="1119" spans="1:3">
      <c r="A1119" t="s">
        <v>2522</v>
      </c>
      <c r="B1119" t="s">
        <v>5244</v>
      </c>
      <c r="C1119" s="98">
        <f>VLOOKUP(A1119,References!$C:$D,2,0)</f>
        <v>135.75539568345323</v>
      </c>
    </row>
    <row r="1120" spans="1:3">
      <c r="A1120" t="s">
        <v>3421</v>
      </c>
      <c r="B1120" t="s">
        <v>5245</v>
      </c>
      <c r="C1120" s="98">
        <f>VLOOKUP(A1120,References!$C:$D,2,0)</f>
        <v>135.75539568345323</v>
      </c>
    </row>
    <row r="1121" spans="1:3">
      <c r="A1121" t="s">
        <v>2192</v>
      </c>
      <c r="B1121" t="s">
        <v>2192</v>
      </c>
      <c r="C1121" s="98">
        <f>VLOOKUP(A1121,References!$C:$D,2,0)</f>
        <v>135.75539568345323</v>
      </c>
    </row>
    <row r="1122" spans="1:3">
      <c r="A1122" t="s">
        <v>3428</v>
      </c>
      <c r="B1122" t="s">
        <v>3428</v>
      </c>
      <c r="C1122" s="98">
        <f>VLOOKUP(A1122,References!$C:$D,2,0)</f>
        <v>97.938375350140063</v>
      </c>
    </row>
    <row r="1123" spans="1:3">
      <c r="A1123" t="s">
        <v>3431</v>
      </c>
      <c r="B1123" t="s">
        <v>3431</v>
      </c>
      <c r="C1123" s="98">
        <f>VLOOKUP(A1123,References!$C:$D,2,0)</f>
        <v>234.9597989949749</v>
      </c>
    </row>
    <row r="1124" spans="1:3">
      <c r="A1124" t="s">
        <v>3435</v>
      </c>
      <c r="B1124" t="s">
        <v>3435</v>
      </c>
      <c r="C1124" s="98">
        <f>VLOOKUP(A1124,References!$C:$D,2,0)</f>
        <v>190.74380165289256</v>
      </c>
    </row>
    <row r="1125" spans="1:3">
      <c r="A1125" t="s">
        <v>3438</v>
      </c>
      <c r="B1125" t="s">
        <v>3438</v>
      </c>
      <c r="C1125" s="98">
        <f>VLOOKUP(A1125,References!$C:$D,2,0)</f>
        <v>97.938375350140063</v>
      </c>
    </row>
    <row r="1126" spans="1:3">
      <c r="A1126" t="s">
        <v>2615</v>
      </c>
      <c r="B1126" t="s">
        <v>5246</v>
      </c>
      <c r="C1126" s="98">
        <f>VLOOKUP(A1126,References!$C:$D,2,0)</f>
        <v>188.40816326530611</v>
      </c>
    </row>
    <row r="1127" spans="1:3">
      <c r="A1127" t="s">
        <v>3441</v>
      </c>
      <c r="B1127" t="s">
        <v>3441</v>
      </c>
      <c r="C1127" s="98">
        <f>VLOOKUP(A1127,References!$C:$D,2,0)</f>
        <v>195.71428571428572</v>
      </c>
    </row>
    <row r="1128" spans="1:3">
      <c r="A1128" t="s">
        <v>3445</v>
      </c>
      <c r="B1128" t="s">
        <v>3445</v>
      </c>
      <c r="C1128" s="98">
        <f>VLOOKUP(A1128,References!$C:$D,2,0)</f>
        <v>97.938375350140063</v>
      </c>
    </row>
    <row r="1129" spans="1:3">
      <c r="A1129" t="s">
        <v>1999</v>
      </c>
      <c r="B1129" t="s">
        <v>5247</v>
      </c>
      <c r="C1129" s="98">
        <f>VLOOKUP(A1129,References!$C:$D,2,0)</f>
        <v>231.9597989949749</v>
      </c>
    </row>
    <row r="1130" spans="1:3">
      <c r="A1130" t="s">
        <v>3448</v>
      </c>
      <c r="B1130" t="s">
        <v>3448</v>
      </c>
      <c r="C1130" s="98">
        <f>VLOOKUP(A1130,References!$C:$D,2,0)</f>
        <v>233.13131313131314</v>
      </c>
    </row>
    <row r="1131" spans="1:3">
      <c r="A1131" t="s">
        <v>3452</v>
      </c>
      <c r="B1131" t="s">
        <v>3452</v>
      </c>
      <c r="C1131" s="98">
        <f>VLOOKUP(A1131,References!$C:$D,2,0)</f>
        <v>191.53526970954357</v>
      </c>
    </row>
    <row r="1132" spans="1:3">
      <c r="A1132" t="s">
        <v>3455</v>
      </c>
      <c r="B1132" t="s">
        <v>3455</v>
      </c>
      <c r="C1132" s="98">
        <f>VLOOKUP(A1132,References!$C:$D,2,0)</f>
        <v>231.9597989949749</v>
      </c>
    </row>
    <row r="1133" spans="1:3">
      <c r="A1133" t="s">
        <v>2854</v>
      </c>
      <c r="B1133" t="s">
        <v>2854</v>
      </c>
      <c r="C1133" s="98">
        <f>VLOOKUP(A1133,References!$C:$D,2,0)</f>
        <v>231.9597989949749</v>
      </c>
    </row>
    <row r="1134" spans="1:3">
      <c r="A1134" t="s">
        <v>3459</v>
      </c>
      <c r="B1134" t="s">
        <v>3459</v>
      </c>
      <c r="C1134" s="98">
        <f>VLOOKUP(A1134,References!$C:$D,2,0)</f>
        <v>191.53526970954357</v>
      </c>
    </row>
    <row r="1135" spans="1:3">
      <c r="A1135" t="s">
        <v>3463</v>
      </c>
      <c r="B1135" t="s">
        <v>3463</v>
      </c>
      <c r="C1135" s="98">
        <f>VLOOKUP(A1135,References!$C:$D,2,0)</f>
        <v>231.9597989949749</v>
      </c>
    </row>
    <row r="1136" spans="1:3">
      <c r="A1136" t="s">
        <v>3467</v>
      </c>
      <c r="B1136" t="s">
        <v>3467</v>
      </c>
      <c r="C1136" s="98">
        <f>VLOOKUP(A1136,References!$C:$D,2,0)</f>
        <v>191.53526970954357</v>
      </c>
    </row>
    <row r="1137" spans="1:3">
      <c r="A1137" t="s">
        <v>3470</v>
      </c>
      <c r="B1137" t="s">
        <v>3470</v>
      </c>
      <c r="C1137" s="98">
        <f>VLOOKUP(A1137,References!$C:$D,2,0)</f>
        <v>95.938375350140063</v>
      </c>
    </row>
    <row r="1138" spans="1:3">
      <c r="A1138" t="s">
        <v>3473</v>
      </c>
      <c r="B1138" t="s">
        <v>3473</v>
      </c>
      <c r="C1138" s="98">
        <f>VLOOKUP(A1138,References!$C:$D,2,0)</f>
        <v>188.40816326530611</v>
      </c>
    </row>
    <row r="1139" spans="1:3">
      <c r="A1139" t="s">
        <v>3477</v>
      </c>
      <c r="B1139" t="s">
        <v>3477</v>
      </c>
      <c r="C1139" s="98">
        <f>VLOOKUP(A1139,References!$C:$D,2,0)</f>
        <v>231.9597989949749</v>
      </c>
    </row>
    <row r="1140" spans="1:3">
      <c r="A1140" t="s">
        <v>3020</v>
      </c>
      <c r="B1140" t="s">
        <v>3020</v>
      </c>
      <c r="C1140" s="98">
        <f>VLOOKUP(A1140,References!$C:$D,2,0)</f>
        <v>135.75539568345323</v>
      </c>
    </row>
    <row r="1141" spans="1:3">
      <c r="A1141" t="s">
        <v>3482</v>
      </c>
      <c r="B1141" t="s">
        <v>3482</v>
      </c>
      <c r="C1141" s="98">
        <f>VLOOKUP(A1141,References!$C:$D,2,0)</f>
        <v>231.9597989949749</v>
      </c>
    </row>
    <row r="1142" spans="1:3">
      <c r="A1142" t="s">
        <v>3366</v>
      </c>
      <c r="B1142" t="s">
        <v>3366</v>
      </c>
      <c r="C1142" s="98">
        <f>VLOOKUP(A1142,References!$C:$D,2,0)</f>
        <v>97.938375350140063</v>
      </c>
    </row>
    <row r="1143" spans="1:3">
      <c r="A1143" t="s">
        <v>3487</v>
      </c>
      <c r="B1143" t="s">
        <v>3487</v>
      </c>
      <c r="C1143" s="98">
        <f>VLOOKUP(A1143,References!$C:$D,2,0)</f>
        <v>95.938375350140063</v>
      </c>
    </row>
    <row r="1144" spans="1:3">
      <c r="A1144" t="s">
        <v>1651</v>
      </c>
      <c r="B1144" t="s">
        <v>1651</v>
      </c>
      <c r="C1144" s="98">
        <f>VLOOKUP(A1144,References!$C:$D,2,0)</f>
        <v>231.9597989949749</v>
      </c>
    </row>
    <row r="1145" spans="1:3">
      <c r="A1145" t="s">
        <v>3168</v>
      </c>
      <c r="B1145" t="s">
        <v>3168</v>
      </c>
      <c r="C1145" s="98">
        <f>VLOOKUP(A1145,References!$C:$D,2,0)</f>
        <v>135.75539568345323</v>
      </c>
    </row>
    <row r="1146" spans="1:3">
      <c r="A1146" t="s">
        <v>1788</v>
      </c>
      <c r="B1146" t="s">
        <v>1788</v>
      </c>
      <c r="C1146" s="98">
        <f>VLOOKUP(A1146,References!$C:$D,2,0)</f>
        <v>233.13131313131314</v>
      </c>
    </row>
    <row r="1147" spans="1:3">
      <c r="A1147" t="s">
        <v>3130</v>
      </c>
      <c r="B1147" t="s">
        <v>3130</v>
      </c>
      <c r="C1147" s="98">
        <f>VLOOKUP(A1147,References!$C:$D,2,0)</f>
        <v>188.40816326530611</v>
      </c>
    </row>
    <row r="1148" spans="1:3">
      <c r="A1148" t="s">
        <v>3498</v>
      </c>
      <c r="B1148" t="s">
        <v>3498</v>
      </c>
      <c r="C1148" s="98">
        <f>VLOOKUP(A1148,References!$C:$D,2,0)</f>
        <v>97.938375350140063</v>
      </c>
    </row>
    <row r="1149" spans="1:3">
      <c r="A1149" t="s">
        <v>1826</v>
      </c>
      <c r="B1149" t="s">
        <v>1826</v>
      </c>
      <c r="C1149" s="98">
        <f>VLOOKUP(A1149,References!$C:$D,2,0)</f>
        <v>233.13131313131314</v>
      </c>
    </row>
    <row r="1150" spans="1:3">
      <c r="A1150" t="s">
        <v>2730</v>
      </c>
      <c r="B1150" t="s">
        <v>2730</v>
      </c>
      <c r="C1150" s="98">
        <f>VLOOKUP(A1150,References!$C:$D,2,0)</f>
        <v>144.25</v>
      </c>
    </row>
    <row r="1151" spans="1:3">
      <c r="A1151" t="s">
        <v>2256</v>
      </c>
      <c r="B1151" t="s">
        <v>2256</v>
      </c>
      <c r="C1151" s="98">
        <f>VLOOKUP(A1151,References!$C:$D,2,0)</f>
        <v>231.9597989949749</v>
      </c>
    </row>
    <row r="1152" spans="1:3">
      <c r="A1152" t="s">
        <v>3506</v>
      </c>
      <c r="B1152" t="s">
        <v>3506</v>
      </c>
      <c r="C1152" s="98">
        <f>VLOOKUP(A1152,References!$C:$D,2,0)</f>
        <v>217.73584905660377</v>
      </c>
    </row>
    <row r="1153" spans="1:3">
      <c r="A1153" t="s">
        <v>2396</v>
      </c>
      <c r="B1153" t="s">
        <v>2396</v>
      </c>
      <c r="C1153" s="98">
        <f>VLOOKUP(A1153,References!$C:$D,2,0)</f>
        <v>231.9597989949749</v>
      </c>
    </row>
    <row r="1154" spans="1:3">
      <c r="A1154" t="s">
        <v>2658</v>
      </c>
      <c r="B1154" t="s">
        <v>2658</v>
      </c>
      <c r="C1154" s="98">
        <f>VLOOKUP(A1154,References!$C:$D,2,0)</f>
        <v>188.40816326530611</v>
      </c>
    </row>
    <row r="1155" spans="1:3">
      <c r="A1155" t="s">
        <v>3515</v>
      </c>
      <c r="B1155" t="s">
        <v>3515</v>
      </c>
      <c r="C1155" s="98">
        <f>VLOOKUP(A1155,References!$C:$D,2,0)</f>
        <v>190.74380165289256</v>
      </c>
    </row>
    <row r="1156" spans="1:3">
      <c r="A1156" t="s">
        <v>3518</v>
      </c>
      <c r="B1156" t="s">
        <v>3518</v>
      </c>
      <c r="C1156" s="98">
        <f>VLOOKUP(A1156,References!$C:$D,2,0)</f>
        <v>234.9597989949749</v>
      </c>
    </row>
    <row r="1157" spans="1:3">
      <c r="A1157" t="s">
        <v>3521</v>
      </c>
      <c r="B1157" t="s">
        <v>3521</v>
      </c>
      <c r="C1157" s="98">
        <f>VLOOKUP(A1157,References!$C:$D,2,0)</f>
        <v>307.73333333333335</v>
      </c>
    </row>
    <row r="1158" spans="1:3">
      <c r="A1158" t="s">
        <v>3109</v>
      </c>
      <c r="B1158" t="s">
        <v>3109</v>
      </c>
      <c r="C1158" s="98">
        <f>VLOOKUP(A1158,References!$C:$D,2,0)</f>
        <v>191.40816326530611</v>
      </c>
    </row>
    <row r="1159" spans="1:3">
      <c r="A1159" t="s">
        <v>3524</v>
      </c>
      <c r="B1159" t="s">
        <v>3524</v>
      </c>
      <c r="C1159" s="98">
        <f>VLOOKUP(A1159,References!$C:$D,2,0)</f>
        <v>234.31472081218274</v>
      </c>
    </row>
    <row r="1160" spans="1:3">
      <c r="A1160" t="s">
        <v>2996</v>
      </c>
      <c r="B1160" t="s">
        <v>2996</v>
      </c>
      <c r="C1160" s="98">
        <f>VLOOKUP(A1160,References!$C:$D,2,0)</f>
        <v>188.40816326530611</v>
      </c>
    </row>
    <row r="1161" spans="1:3">
      <c r="A1161" t="s">
        <v>3529</v>
      </c>
      <c r="B1161" t="s">
        <v>3529</v>
      </c>
      <c r="C1161" s="98">
        <f>VLOOKUP(A1161,References!$C:$D,2,0)</f>
        <v>191.40816326530611</v>
      </c>
    </row>
    <row r="1162" spans="1:3">
      <c r="A1162" t="s">
        <v>3533</v>
      </c>
      <c r="B1162" t="s">
        <v>3533</v>
      </c>
      <c r="C1162" s="98">
        <f>VLOOKUP(A1162,References!$C:$D,2,0)</f>
        <v>135.75539568345323</v>
      </c>
    </row>
    <row r="1163" spans="1:3">
      <c r="A1163" t="s">
        <v>1954</v>
      </c>
      <c r="B1163" t="s">
        <v>5248</v>
      </c>
      <c r="C1163" s="98">
        <f>VLOOKUP(A1163,References!$C:$D,2,0)</f>
        <v>188.40816326530611</v>
      </c>
    </row>
    <row r="1164" spans="1:3">
      <c r="A1164" t="s">
        <v>1620</v>
      </c>
      <c r="B1164" t="s">
        <v>5249</v>
      </c>
      <c r="C1164" s="98">
        <f>VLOOKUP(A1164,References!$C:$D,2,0)</f>
        <v>231.9597989949749</v>
      </c>
    </row>
    <row r="1165" spans="1:3">
      <c r="A1165" t="s">
        <v>2741</v>
      </c>
      <c r="B1165" t="s">
        <v>5250</v>
      </c>
      <c r="C1165" s="98">
        <f>VLOOKUP(A1165,References!$C:$D,2,0)</f>
        <v>188.40816326530611</v>
      </c>
    </row>
    <row r="1166" spans="1:3">
      <c r="A1166" t="s">
        <v>1954</v>
      </c>
      <c r="B1166" t="s">
        <v>1954</v>
      </c>
      <c r="C1166" s="98">
        <f>VLOOKUP(A1166,References!$C:$D,2,0)</f>
        <v>188.40816326530611</v>
      </c>
    </row>
    <row r="1167" spans="1:3">
      <c r="A1167" t="s">
        <v>3539</v>
      </c>
      <c r="B1167" t="s">
        <v>5251</v>
      </c>
      <c r="C1167" s="98">
        <f>VLOOKUP(A1167,References!$C:$D,2,0)</f>
        <v>231.9597989949749</v>
      </c>
    </row>
    <row r="1168" spans="1:3">
      <c r="A1168" t="s">
        <v>3541</v>
      </c>
      <c r="B1168" t="s">
        <v>3541</v>
      </c>
      <c r="C1168" s="98">
        <f>VLOOKUP(A1168,References!$C:$D,2,0)</f>
        <v>234.31472081218274</v>
      </c>
    </row>
    <row r="1169" spans="1:3">
      <c r="A1169" t="s">
        <v>2788</v>
      </c>
      <c r="B1169" t="s">
        <v>5252</v>
      </c>
      <c r="C1169" s="98">
        <f>VLOOKUP(A1169,References!$C:$D,2,0)</f>
        <v>95.938375350140063</v>
      </c>
    </row>
    <row r="1170" spans="1:3">
      <c r="A1170" t="s">
        <v>2493</v>
      </c>
      <c r="B1170" t="s">
        <v>5253</v>
      </c>
      <c r="C1170" s="98">
        <f>VLOOKUP(A1170,References!$C:$D,2,0)</f>
        <v>231.9597989949749</v>
      </c>
    </row>
    <row r="1171" spans="1:3">
      <c r="A1171" t="s">
        <v>2649</v>
      </c>
      <c r="B1171" t="s">
        <v>2649</v>
      </c>
      <c r="C1171" s="98">
        <f>VLOOKUP(A1171,References!$C:$D,2,0)</f>
        <v>231.9597989949749</v>
      </c>
    </row>
    <row r="1172" spans="1:3">
      <c r="A1172" t="s">
        <v>3545</v>
      </c>
      <c r="B1172" t="s">
        <v>3545</v>
      </c>
      <c r="C1172" s="98">
        <f>VLOOKUP(A1172,References!$C:$D,2,0)</f>
        <v>231.9597989949749</v>
      </c>
    </row>
    <row r="1173" spans="1:3">
      <c r="A1173" t="s">
        <v>3549</v>
      </c>
      <c r="B1173" t="s">
        <v>3549</v>
      </c>
      <c r="C1173" s="98">
        <f>VLOOKUP(A1173,References!$C:$D,2,0)</f>
        <v>233.13131313131314</v>
      </c>
    </row>
    <row r="1174" spans="1:3">
      <c r="A1174" t="s">
        <v>3552</v>
      </c>
      <c r="B1174" t="s">
        <v>3552</v>
      </c>
      <c r="C1174" s="98">
        <f>VLOOKUP(A1174,References!$C:$D,2,0)</f>
        <v>196.42553191489361</v>
      </c>
    </row>
    <row r="1175" spans="1:3">
      <c r="A1175" t="s">
        <v>3555</v>
      </c>
      <c r="B1175" t="s">
        <v>3555</v>
      </c>
      <c r="C1175" s="98">
        <f>VLOOKUP(A1175,References!$C:$D,2,0)</f>
        <v>260.79096045197741</v>
      </c>
    </row>
    <row r="1176" spans="1:3">
      <c r="A1176" t="s">
        <v>3558</v>
      </c>
      <c r="B1176" t="s">
        <v>3558</v>
      </c>
      <c r="C1176" s="98">
        <f>VLOOKUP(A1176,References!$C:$D,2,0)</f>
        <v>106.69781931464175</v>
      </c>
    </row>
    <row r="1177" spans="1:3">
      <c r="A1177" t="s">
        <v>3561</v>
      </c>
      <c r="B1177" t="s">
        <v>3561</v>
      </c>
      <c r="C1177" s="98">
        <f>VLOOKUP(A1177,References!$C:$D,2,0)</f>
        <v>135.75539568345323</v>
      </c>
    </row>
    <row r="1178" spans="1:3">
      <c r="A1178" t="s">
        <v>3564</v>
      </c>
      <c r="B1178" t="s">
        <v>3564</v>
      </c>
      <c r="C1178" s="98">
        <f>VLOOKUP(A1178,References!$C:$D,2,0)</f>
        <v>234.31472081218274</v>
      </c>
    </row>
    <row r="1179" spans="1:3">
      <c r="A1179" t="s">
        <v>3567</v>
      </c>
      <c r="B1179" t="s">
        <v>3567</v>
      </c>
      <c r="C1179" s="98">
        <f>VLOOKUP(A1179,References!$C:$D,2,0)</f>
        <v>234.31472081218274</v>
      </c>
    </row>
    <row r="1180" spans="1:3">
      <c r="A1180" t="s">
        <v>2505</v>
      </c>
      <c r="B1180" t="s">
        <v>5254</v>
      </c>
      <c r="C1180" s="98">
        <f>VLOOKUP(A1180,References!$C:$D,2,0)</f>
        <v>231.9597989949749</v>
      </c>
    </row>
    <row r="1181" spans="1:3">
      <c r="A1181" t="s">
        <v>2886</v>
      </c>
      <c r="B1181" t="s">
        <v>2886</v>
      </c>
      <c r="C1181" s="98">
        <f>VLOOKUP(A1181,References!$C:$D,2,0)</f>
        <v>190.74380165289256</v>
      </c>
    </row>
    <row r="1182" spans="1:3">
      <c r="A1182" t="s">
        <v>3573</v>
      </c>
      <c r="B1182" t="s">
        <v>3573</v>
      </c>
      <c r="C1182" s="98">
        <f>VLOOKUP(A1182,References!$C:$D,2,0)</f>
        <v>191.40816326530611</v>
      </c>
    </row>
    <row r="1183" spans="1:3">
      <c r="A1183" t="s">
        <v>3539</v>
      </c>
      <c r="B1183" t="s">
        <v>3539</v>
      </c>
      <c r="C1183" s="98">
        <f>VLOOKUP(A1183,References!$C:$D,2,0)</f>
        <v>231.9597989949749</v>
      </c>
    </row>
    <row r="1184" spans="1:3">
      <c r="A1184" t="s">
        <v>3578</v>
      </c>
      <c r="B1184" t="s">
        <v>3578</v>
      </c>
      <c r="C1184" s="98">
        <f>VLOOKUP(A1184,References!$C:$D,2,0)</f>
        <v>190.74380165289256</v>
      </c>
    </row>
    <row r="1185" spans="1:3">
      <c r="A1185" t="s">
        <v>2641</v>
      </c>
      <c r="B1185" t="s">
        <v>2641</v>
      </c>
      <c r="C1185" s="98">
        <f>VLOOKUP(A1185,References!$C:$D,2,0)</f>
        <v>188.40816326530611</v>
      </c>
    </row>
    <row r="1186" spans="1:3">
      <c r="A1186" t="s">
        <v>3109</v>
      </c>
      <c r="B1186" t="s">
        <v>5255</v>
      </c>
      <c r="C1186" s="98">
        <f>VLOOKUP(A1186,References!$C:$D,2,0)</f>
        <v>191.40816326530611</v>
      </c>
    </row>
    <row r="1187" spans="1:3">
      <c r="A1187" t="s">
        <v>3582</v>
      </c>
      <c r="B1187" t="s">
        <v>3582</v>
      </c>
      <c r="C1187" s="98">
        <f>VLOOKUP(A1187,References!$C:$D,2,0)</f>
        <v>231.9597989949749</v>
      </c>
    </row>
    <row r="1188" spans="1:3">
      <c r="A1188" t="s">
        <v>3585</v>
      </c>
      <c r="B1188" t="s">
        <v>5256</v>
      </c>
      <c r="C1188" s="98">
        <f>VLOOKUP(A1188,References!$C:$D,2,0)</f>
        <v>188.40816326530611</v>
      </c>
    </row>
    <row r="1189" spans="1:3">
      <c r="A1189" t="s">
        <v>2461</v>
      </c>
      <c r="B1189" t="s">
        <v>5257</v>
      </c>
      <c r="C1189" s="98">
        <f>VLOOKUP(A1189,References!$C:$D,2,0)</f>
        <v>188.40816326530611</v>
      </c>
    </row>
    <row r="1190" spans="1:3">
      <c r="A1190" t="s">
        <v>3587</v>
      </c>
      <c r="B1190" t="s">
        <v>3587</v>
      </c>
      <c r="C1190" s="98">
        <f>VLOOKUP(A1190,References!$C:$D,2,0)</f>
        <v>190.74380165289256</v>
      </c>
    </row>
    <row r="1191" spans="1:3">
      <c r="A1191" t="s">
        <v>1741</v>
      </c>
      <c r="B1191" t="s">
        <v>5258</v>
      </c>
      <c r="C1191" s="98">
        <f>VLOOKUP(A1191,References!$C:$D,2,0)</f>
        <v>190.74380165289256</v>
      </c>
    </row>
    <row r="1192" spans="1:3">
      <c r="A1192" t="s">
        <v>3590</v>
      </c>
      <c r="B1192" t="s">
        <v>3590</v>
      </c>
      <c r="C1192" s="98">
        <f>VLOOKUP(A1192,References!$C:$D,2,0)</f>
        <v>2</v>
      </c>
    </row>
    <row r="1193" spans="1:3">
      <c r="A1193" t="s">
        <v>2622</v>
      </c>
      <c r="B1193" t="s">
        <v>2622</v>
      </c>
      <c r="C1193" s="98">
        <f>VLOOKUP(A1193,References!$C:$D,2,0)</f>
        <v>188.40816326530611</v>
      </c>
    </row>
    <row r="1194" spans="1:3">
      <c r="A1194" t="s">
        <v>3595</v>
      </c>
      <c r="B1194" t="s">
        <v>3595</v>
      </c>
      <c r="C1194" s="98">
        <f>VLOOKUP(A1194,References!$C:$D,2,0)</f>
        <v>95.938375350140063</v>
      </c>
    </row>
    <row r="1195" spans="1:3">
      <c r="A1195" t="s">
        <v>3598</v>
      </c>
      <c r="B1195" t="s">
        <v>3598</v>
      </c>
      <c r="C1195" s="98">
        <f>VLOOKUP(A1195,References!$C:$D,2,0)</f>
        <v>234.31472081218274</v>
      </c>
    </row>
    <row r="1196" spans="1:3">
      <c r="A1196" t="s">
        <v>3602</v>
      </c>
      <c r="B1196" t="s">
        <v>3602</v>
      </c>
      <c r="C1196" s="98">
        <f>VLOOKUP(A1196,References!$C:$D,2,0)</f>
        <v>190.74380165289256</v>
      </c>
    </row>
    <row r="1197" spans="1:3">
      <c r="A1197" t="s">
        <v>3269</v>
      </c>
      <c r="B1197" t="s">
        <v>3269</v>
      </c>
      <c r="C1197" s="98">
        <f>VLOOKUP(A1197,References!$C:$D,2,0)</f>
        <v>144.25</v>
      </c>
    </row>
    <row r="1198" spans="1:3">
      <c r="A1198" t="s">
        <v>1741</v>
      </c>
      <c r="B1198" t="s">
        <v>1741</v>
      </c>
      <c r="C1198" s="98">
        <f>VLOOKUP(A1198,References!$C:$D,2,0)</f>
        <v>190.74380165289256</v>
      </c>
    </row>
    <row r="1199" spans="1:3">
      <c r="A1199" t="s">
        <v>3609</v>
      </c>
      <c r="B1199" t="s">
        <v>3609</v>
      </c>
      <c r="C1199" s="98">
        <f>VLOOKUP(A1199,References!$C:$D,2,0)</f>
        <v>188.40816326530611</v>
      </c>
    </row>
    <row r="1200" spans="1:3">
      <c r="A1200" t="s">
        <v>3613</v>
      </c>
      <c r="B1200" t="s">
        <v>3613</v>
      </c>
      <c r="C1200" s="98">
        <f>VLOOKUP(A1200,References!$C:$D,2,0)</f>
        <v>233.13131313131314</v>
      </c>
    </row>
    <row r="1201" spans="1:3">
      <c r="A1201" t="s">
        <v>3617</v>
      </c>
      <c r="B1201" t="s">
        <v>3617</v>
      </c>
      <c r="C1201" s="98">
        <f>VLOOKUP(A1201,References!$C:$D,2,0)</f>
        <v>234.9597989949749</v>
      </c>
    </row>
    <row r="1202" spans="1:3">
      <c r="A1202" t="s">
        <v>2731</v>
      </c>
      <c r="B1202" t="s">
        <v>2731</v>
      </c>
      <c r="C1202" s="98">
        <f>VLOOKUP(A1202,References!$C:$D,2,0)</f>
        <v>233.13131313131314</v>
      </c>
    </row>
    <row r="1203" spans="1:3">
      <c r="A1203" t="s">
        <v>3378</v>
      </c>
      <c r="B1203" t="s">
        <v>3378</v>
      </c>
      <c r="C1203" s="98">
        <f>VLOOKUP(A1203,References!$C:$D,2,0)</f>
        <v>217.73584905660377</v>
      </c>
    </row>
    <row r="1204" spans="1:3">
      <c r="A1204" t="s">
        <v>3624</v>
      </c>
      <c r="B1204" t="s">
        <v>3624</v>
      </c>
      <c r="C1204" s="98">
        <f>VLOOKUP(A1204,References!$C:$D,2,0)</f>
        <v>234.31472081218274</v>
      </c>
    </row>
    <row r="1205" spans="1:3">
      <c r="A1205" t="s">
        <v>3627</v>
      </c>
      <c r="B1205" t="s">
        <v>3627</v>
      </c>
      <c r="C1205" s="98">
        <f>VLOOKUP(A1205,References!$C:$D,2,0)</f>
        <v>188.40816326530611</v>
      </c>
    </row>
    <row r="1206" spans="1:3">
      <c r="A1206" t="s">
        <v>3631</v>
      </c>
      <c r="B1206" t="s">
        <v>3631</v>
      </c>
      <c r="C1206" s="98">
        <f>VLOOKUP(A1206,References!$C:$D,2,0)</f>
        <v>234.31472081218274</v>
      </c>
    </row>
    <row r="1207" spans="1:3">
      <c r="A1207" t="s">
        <v>2814</v>
      </c>
      <c r="B1207" t="s">
        <v>5259</v>
      </c>
      <c r="C1207" s="98">
        <f>VLOOKUP(A1207,References!$C:$D,2,0)</f>
        <v>135.75539568345323</v>
      </c>
    </row>
    <row r="1208" spans="1:3">
      <c r="A1208" t="s">
        <v>1720</v>
      </c>
      <c r="B1208" t="s">
        <v>1720</v>
      </c>
      <c r="C1208" s="98">
        <f>VLOOKUP(A1208,References!$C:$D,2,0)</f>
        <v>135.75539568345323</v>
      </c>
    </row>
    <row r="1209" spans="1:3">
      <c r="A1209" t="s">
        <v>3636</v>
      </c>
      <c r="B1209" t="s">
        <v>3636</v>
      </c>
      <c r="C1209" s="98">
        <f>VLOOKUP(A1209,References!$C:$D,2,0)</f>
        <v>233.13131313131314</v>
      </c>
    </row>
    <row r="1210" spans="1:3">
      <c r="A1210" t="s">
        <v>3640</v>
      </c>
      <c r="B1210" t="s">
        <v>3640</v>
      </c>
      <c r="C1210" s="98">
        <f>VLOOKUP(A1210,References!$C:$D,2,0)</f>
        <v>135.75539568345323</v>
      </c>
    </row>
    <row r="1211" spans="1:3">
      <c r="A1211" t="s">
        <v>3643</v>
      </c>
      <c r="B1211" t="s">
        <v>3643</v>
      </c>
      <c r="C1211" s="98">
        <f>VLOOKUP(A1211,References!$C:$D,2,0)</f>
        <v>135.75539568345323</v>
      </c>
    </row>
    <row r="1212" spans="1:3">
      <c r="A1212" t="s">
        <v>1854</v>
      </c>
      <c r="B1212" t="s">
        <v>1854</v>
      </c>
      <c r="C1212" s="98">
        <f>VLOOKUP(A1212,References!$C:$D,2,0)</f>
        <v>144.25</v>
      </c>
    </row>
    <row r="1213" spans="1:3">
      <c r="A1213" t="s">
        <v>3649</v>
      </c>
      <c r="B1213" t="s">
        <v>3649</v>
      </c>
      <c r="C1213" s="98">
        <f>VLOOKUP(A1213,References!$C:$D,2,0)</f>
        <v>135.75539568345323</v>
      </c>
    </row>
    <row r="1214" spans="1:3">
      <c r="A1214" t="s">
        <v>3652</v>
      </c>
      <c r="B1214" t="s">
        <v>3652</v>
      </c>
      <c r="C1214" s="98">
        <f>VLOOKUP(A1214,References!$C:$D,2,0)</f>
        <v>234.31472081218274</v>
      </c>
    </row>
    <row r="1215" spans="1:3">
      <c r="A1215" t="s">
        <v>3655</v>
      </c>
      <c r="B1215" t="s">
        <v>3655</v>
      </c>
      <c r="C1215" s="98">
        <f>VLOOKUP(A1215,References!$C:$D,2,0)</f>
        <v>217.73584905660377</v>
      </c>
    </row>
    <row r="1216" spans="1:3">
      <c r="A1216" t="s">
        <v>3658</v>
      </c>
      <c r="B1216" t="s">
        <v>3658</v>
      </c>
      <c r="C1216" s="98">
        <f>VLOOKUP(A1216,References!$C:$D,2,0)</f>
        <v>131.73076923076923</v>
      </c>
    </row>
    <row r="1217" spans="1:3">
      <c r="A1217" t="s">
        <v>3661</v>
      </c>
      <c r="B1217" t="s">
        <v>3661</v>
      </c>
      <c r="C1217" s="98">
        <f>VLOOKUP(A1217,References!$C:$D,2,0)</f>
        <v>233.13131313131314</v>
      </c>
    </row>
    <row r="1218" spans="1:3">
      <c r="A1218" t="s">
        <v>3664</v>
      </c>
      <c r="B1218" t="s">
        <v>3664</v>
      </c>
      <c r="C1218" s="98">
        <f>VLOOKUP(A1218,References!$C:$D,2,0)</f>
        <v>106.69781931464175</v>
      </c>
    </row>
    <row r="1219" spans="1:3">
      <c r="A1219" t="s">
        <v>3668</v>
      </c>
      <c r="B1219" t="s">
        <v>3668</v>
      </c>
      <c r="C1219" s="98">
        <f>VLOOKUP(A1219,References!$C:$D,2,0)</f>
        <v>192.33333333333334</v>
      </c>
    </row>
    <row r="1220" spans="1:3">
      <c r="A1220" t="s">
        <v>3671</v>
      </c>
      <c r="B1220" t="s">
        <v>3671</v>
      </c>
      <c r="C1220" s="98">
        <f>VLOOKUP(A1220,References!$C:$D,2,0)</f>
        <v>135.75539568345323</v>
      </c>
    </row>
    <row r="1221" spans="1:3">
      <c r="A1221" t="s">
        <v>2505</v>
      </c>
      <c r="B1221" t="s">
        <v>5260</v>
      </c>
      <c r="C1221" s="98">
        <f>VLOOKUP(A1221,References!$C:$D,2,0)</f>
        <v>231.9597989949749</v>
      </c>
    </row>
    <row r="1222" spans="1:3">
      <c r="A1222" t="s">
        <v>3674</v>
      </c>
      <c r="B1222" t="s">
        <v>3674</v>
      </c>
      <c r="C1222" s="98">
        <f>VLOOKUP(A1222,References!$C:$D,2,0)</f>
        <v>144.25</v>
      </c>
    </row>
    <row r="1223" spans="1:3">
      <c r="A1223" t="s">
        <v>1848</v>
      </c>
      <c r="B1223" t="s">
        <v>1848</v>
      </c>
      <c r="C1223" s="98">
        <f>VLOOKUP(A1223,References!$C:$D,2,0)</f>
        <v>144.25</v>
      </c>
    </row>
    <row r="1224" spans="1:3">
      <c r="A1224" t="s">
        <v>3680</v>
      </c>
      <c r="B1224" t="s">
        <v>3680</v>
      </c>
      <c r="C1224" s="98">
        <f>VLOOKUP(A1224,References!$C:$D,2,0)</f>
        <v>217.73584905660377</v>
      </c>
    </row>
    <row r="1225" spans="1:3">
      <c r="A1225" t="s">
        <v>3684</v>
      </c>
      <c r="B1225" t="s">
        <v>3684</v>
      </c>
      <c r="C1225" s="98">
        <f>VLOOKUP(A1225,References!$C:$D,2,0)</f>
        <v>234.31472081218274</v>
      </c>
    </row>
    <row r="1226" spans="1:3">
      <c r="A1226" t="s">
        <v>3687</v>
      </c>
      <c r="B1226" t="s">
        <v>3687</v>
      </c>
      <c r="C1226" s="98">
        <f>VLOOKUP(A1226,References!$C:$D,2,0)</f>
        <v>190.74380165289256</v>
      </c>
    </row>
    <row r="1227" spans="1:3">
      <c r="A1227" t="s">
        <v>3690</v>
      </c>
      <c r="B1227" t="s">
        <v>3690</v>
      </c>
      <c r="C1227" s="98">
        <f>VLOOKUP(A1227,References!$C:$D,2,0)</f>
        <v>234.31472081218274</v>
      </c>
    </row>
    <row r="1228" spans="1:3">
      <c r="A1228" t="s">
        <v>3693</v>
      </c>
      <c r="B1228" t="s">
        <v>3693</v>
      </c>
      <c r="C1228" s="98">
        <f>VLOOKUP(A1228,References!$C:$D,2,0)</f>
        <v>233.13131313131314</v>
      </c>
    </row>
    <row r="1229" spans="1:3">
      <c r="A1229" t="s">
        <v>3696</v>
      </c>
      <c r="B1229" t="s">
        <v>3696</v>
      </c>
      <c r="C1229" s="98">
        <f>VLOOKUP(A1229,References!$C:$D,2,0)</f>
        <v>114.16666666666667</v>
      </c>
    </row>
    <row r="1230" spans="1:3">
      <c r="A1230" t="s">
        <v>1698</v>
      </c>
      <c r="B1230" t="s">
        <v>1698</v>
      </c>
      <c r="C1230" s="98">
        <f>VLOOKUP(A1230,References!$C:$D,2,0)</f>
        <v>260.79096045197741</v>
      </c>
    </row>
    <row r="1231" spans="1:3">
      <c r="A1231" t="s">
        <v>1707</v>
      </c>
      <c r="B1231" t="s">
        <v>1707</v>
      </c>
      <c r="C1231" s="98">
        <f>VLOOKUP(A1231,References!$C:$D,2,0)</f>
        <v>260.79096045197741</v>
      </c>
    </row>
    <row r="1232" spans="1:3">
      <c r="A1232" t="s">
        <v>3703</v>
      </c>
      <c r="B1232" t="s">
        <v>3703</v>
      </c>
      <c r="C1232" s="98">
        <f>VLOOKUP(A1232,References!$C:$D,2,0)</f>
        <v>233.13131313131314</v>
      </c>
    </row>
    <row r="1233" spans="1:5">
      <c r="A1233" t="s">
        <v>3706</v>
      </c>
      <c r="B1233" t="s">
        <v>3706</v>
      </c>
      <c r="C1233" s="98">
        <f>VLOOKUP(A1233,References!$C:$D,2,0)</f>
        <v>217.73584905660377</v>
      </c>
    </row>
    <row r="1234" spans="1:5">
      <c r="A1234" t="s">
        <v>1697</v>
      </c>
      <c r="B1234" t="s">
        <v>5261</v>
      </c>
      <c r="C1234" s="98">
        <f>VLOOKUP(A1234,References!$C:$D,2,0)</f>
        <v>260.79096045197741</v>
      </c>
      <c r="D1234" s="97"/>
    </row>
    <row r="1235" spans="1:5">
      <c r="A1235" t="s">
        <v>3710</v>
      </c>
      <c r="B1235" t="s">
        <v>3710</v>
      </c>
      <c r="C1235" s="98">
        <f>VLOOKUP(A1235,References!$C:$D,2,0)</f>
        <v>135.75539568345323</v>
      </c>
      <c r="D1235" s="97"/>
    </row>
    <row r="1236" spans="1:5">
      <c r="A1236" t="s">
        <v>3714</v>
      </c>
      <c r="B1236" t="s">
        <v>3714</v>
      </c>
      <c r="C1236" s="98">
        <f>VLOOKUP(A1236,References!$C:$D,2,0)</f>
        <v>135.75539568345323</v>
      </c>
      <c r="D1236" s="97"/>
    </row>
    <row r="1237" spans="1:5">
      <c r="A1237" t="s">
        <v>3717</v>
      </c>
      <c r="B1237" t="s">
        <v>3717</v>
      </c>
      <c r="C1237" s="98">
        <f>VLOOKUP(A1237,References!$C:$D,2,0)</f>
        <v>234.31472081218274</v>
      </c>
      <c r="D1237" s="97"/>
    </row>
    <row r="1238" spans="1:5">
      <c r="A1238" t="s">
        <v>3720</v>
      </c>
      <c r="B1238" t="s">
        <v>3720</v>
      </c>
      <c r="C1238" s="98">
        <f>VLOOKUP(A1238,References!$C:$D,2,0)</f>
        <v>95.938375350140063</v>
      </c>
      <c r="D1238" s="97"/>
    </row>
    <row r="1239" spans="1:5">
      <c r="A1239" t="s">
        <v>3723</v>
      </c>
      <c r="B1239" t="s">
        <v>3723</v>
      </c>
      <c r="C1239" s="98">
        <f>VLOOKUP(A1239,References!$C:$D,2,0)</f>
        <v>233.13131313131314</v>
      </c>
      <c r="D1239" s="97"/>
    </row>
    <row r="1240" spans="1:5">
      <c r="A1240" t="s">
        <v>3726</v>
      </c>
      <c r="B1240" t="s">
        <v>3726</v>
      </c>
      <c r="C1240" s="98">
        <f>VLOOKUP(A1240,References!$C:$D,2,0)</f>
        <v>231.2092403554291</v>
      </c>
      <c r="D1240" s="97"/>
    </row>
    <row r="1241" spans="1:5">
      <c r="A1241" t="s">
        <v>3729</v>
      </c>
      <c r="B1241" t="s">
        <v>3729</v>
      </c>
      <c r="C1241" s="98">
        <f>VLOOKUP(A1241,References!$C:$D,2,0)</f>
        <v>191.40816326530611</v>
      </c>
      <c r="D1241" s="97"/>
    </row>
    <row r="1242" spans="1:5">
      <c r="A1242" t="s">
        <v>3732</v>
      </c>
      <c r="B1242" t="s">
        <v>3732</v>
      </c>
      <c r="C1242" s="98">
        <f>VLOOKUP(A1242,References!$C:$D,2,0)</f>
        <v>191.40816326530611</v>
      </c>
      <c r="D1242" s="97"/>
    </row>
    <row r="1243" spans="1:5">
      <c r="A1243" t="s">
        <v>3735</v>
      </c>
      <c r="B1243" t="s">
        <v>3735</v>
      </c>
      <c r="C1243" s="98">
        <f>VLOOKUP(A1243,References!$C:$D,2,0)</f>
        <v>231.9597989949749</v>
      </c>
      <c r="D1243" s="97"/>
    </row>
    <row r="1244" spans="1:5">
      <c r="A1244" t="s">
        <v>2303</v>
      </c>
      <c r="B1244" t="s">
        <v>2303</v>
      </c>
      <c r="C1244" s="98">
        <f>VLOOKUP(A1244,References!$C:$D,2,0)</f>
        <v>97.938375350140063</v>
      </c>
      <c r="D1244" s="97"/>
    </row>
    <row r="1245" spans="1:5">
      <c r="A1245" t="s">
        <v>3739</v>
      </c>
      <c r="B1245" t="s">
        <v>3739</v>
      </c>
      <c r="C1245" s="98">
        <f>VLOOKUP(A1245,References!$C:$D,2,0)</f>
        <v>190.74380165289256</v>
      </c>
      <c r="D1245" s="97"/>
    </row>
    <row r="1246" spans="1:5">
      <c r="A1246" t="s">
        <v>3742</v>
      </c>
      <c r="B1246" t="s">
        <v>3742</v>
      </c>
      <c r="C1246" s="98">
        <f>VLOOKUP(A1246,References!$C:$D,2,0)</f>
        <v>2</v>
      </c>
      <c r="D1246" s="97"/>
    </row>
    <row r="1247" spans="1:5">
      <c r="A1247" t="s">
        <v>3745</v>
      </c>
      <c r="B1247" t="s">
        <v>3745</v>
      </c>
      <c r="C1247" s="98">
        <f>VLOOKUP(A1247,References!$C:$D,2,0)</f>
        <v>233.13131313131314</v>
      </c>
      <c r="D1247" s="97"/>
      <c r="E1247" s="97"/>
    </row>
    <row r="1248" spans="1:5">
      <c r="A1248" t="s">
        <v>1619</v>
      </c>
      <c r="B1248" t="s">
        <v>1619</v>
      </c>
      <c r="C1248" s="98">
        <f>VLOOKUP(A1248,References!$C:$D,2,0)</f>
        <v>231.9597989949749</v>
      </c>
      <c r="D1248" s="97"/>
    </row>
    <row r="1249" spans="1:4">
      <c r="A1249" t="s">
        <v>1894</v>
      </c>
      <c r="B1249" t="s">
        <v>1894</v>
      </c>
      <c r="C1249" s="98">
        <f>VLOOKUP(A1249,References!$C:$D,2,0)</f>
        <v>217.73584905660377</v>
      </c>
      <c r="D1249" s="97"/>
    </row>
    <row r="1250" spans="1:4">
      <c r="A1250" t="s">
        <v>3752</v>
      </c>
      <c r="B1250" t="s">
        <v>3752</v>
      </c>
      <c r="C1250" s="98">
        <f>VLOOKUP(A1250,References!$C:$D,2,0)</f>
        <v>190.74380165289256</v>
      </c>
      <c r="D1250" s="97"/>
    </row>
    <row r="1251" spans="1:4">
      <c r="A1251" t="s">
        <v>3756</v>
      </c>
      <c r="B1251" t="s">
        <v>5262</v>
      </c>
      <c r="C1251" s="98">
        <f>VLOOKUP(A1251,References!$C:$D,2,0)</f>
        <v>188.40816326530611</v>
      </c>
      <c r="D1251" s="97"/>
    </row>
    <row r="1252" spans="1:4">
      <c r="A1252" t="s">
        <v>1725</v>
      </c>
      <c r="B1252" t="s">
        <v>1725</v>
      </c>
      <c r="C1252" s="98">
        <f>VLOOKUP(A1252,References!$C:$D,2,0)</f>
        <v>135.75539568345323</v>
      </c>
      <c r="D1252" s="97"/>
    </row>
    <row r="1253" spans="1:4">
      <c r="A1253" t="s">
        <v>3761</v>
      </c>
      <c r="B1253" t="s">
        <v>3761</v>
      </c>
      <c r="C1253" s="98">
        <f>VLOOKUP(A1253,References!$C:$D,2,0)</f>
        <v>2</v>
      </c>
      <c r="D1253" s="97"/>
    </row>
    <row r="1254" spans="1:4">
      <c r="A1254" t="s">
        <v>3764</v>
      </c>
      <c r="B1254" t="s">
        <v>3764</v>
      </c>
      <c r="C1254" s="98">
        <f>VLOOKUP(A1254,References!$C:$D,2,0)</f>
        <v>233.13131313131314</v>
      </c>
      <c r="D1254" s="97"/>
    </row>
    <row r="1255" spans="1:4">
      <c r="A1255" t="s">
        <v>3767</v>
      </c>
      <c r="B1255" t="s">
        <v>3767</v>
      </c>
      <c r="C1255" s="98">
        <f>VLOOKUP(A1255,References!$C:$D,2,0)</f>
        <v>191.53526970954357</v>
      </c>
      <c r="D1255" s="97"/>
    </row>
    <row r="1256" spans="1:4">
      <c r="A1256" t="s">
        <v>1695</v>
      </c>
      <c r="B1256" t="s">
        <v>5263</v>
      </c>
      <c r="C1256" s="98">
        <f>VLOOKUP(A1256,References!$C:$D,2,0)</f>
        <v>260.79096045197741</v>
      </c>
      <c r="D1256" s="97"/>
    </row>
    <row r="1257" spans="1:4">
      <c r="A1257" t="s">
        <v>3770</v>
      </c>
      <c r="B1257" t="s">
        <v>3770</v>
      </c>
      <c r="C1257" s="98">
        <f>VLOOKUP(A1257,References!$C:$D,2,0)</f>
        <v>3</v>
      </c>
      <c r="D1257" s="97"/>
    </row>
    <row r="1258" spans="1:4">
      <c r="A1258" t="s">
        <v>3756</v>
      </c>
      <c r="B1258" t="s">
        <v>3756</v>
      </c>
      <c r="C1258" s="98">
        <f>VLOOKUP(A1258,References!$C:$D,2,0)</f>
        <v>188.40816326530611</v>
      </c>
      <c r="D1258" s="97"/>
    </row>
    <row r="1259" spans="1:4">
      <c r="A1259" t="s">
        <v>1708</v>
      </c>
      <c r="B1259" t="s">
        <v>1708</v>
      </c>
      <c r="C1259" s="98">
        <f>VLOOKUP(A1259,References!$C:$D,2,0)</f>
        <v>260.79096045197741</v>
      </c>
      <c r="D1259" s="97"/>
    </row>
    <row r="1260" spans="1:4">
      <c r="A1260" t="s">
        <v>3775</v>
      </c>
      <c r="B1260" t="s">
        <v>3775</v>
      </c>
      <c r="C1260" s="98">
        <f>VLOOKUP(A1260,References!$C:$D,2,0)</f>
        <v>217.73584905660377</v>
      </c>
      <c r="D1260" s="97"/>
    </row>
    <row r="1261" spans="1:4">
      <c r="A1261" t="s">
        <v>1643</v>
      </c>
      <c r="B1261" t="s">
        <v>1643</v>
      </c>
      <c r="C1261" s="98">
        <f>VLOOKUP(A1261,References!$C:$D,2,0)</f>
        <v>231.9597989949749</v>
      </c>
      <c r="D1261" s="97"/>
    </row>
    <row r="1262" spans="1:4">
      <c r="A1262" t="s">
        <v>3585</v>
      </c>
      <c r="B1262" t="s">
        <v>3585</v>
      </c>
      <c r="C1262" s="98">
        <f>VLOOKUP(A1262,References!$C:$D,2,0)</f>
        <v>188.40816326530611</v>
      </c>
      <c r="D1262" s="97"/>
    </row>
    <row r="1263" spans="1:4">
      <c r="A1263" t="s">
        <v>3782</v>
      </c>
      <c r="B1263" t="s">
        <v>3782</v>
      </c>
      <c r="C1263" s="98">
        <f>VLOOKUP(A1263,References!$C:$D,2,0)</f>
        <v>190.74380165289256</v>
      </c>
      <c r="D1263" s="97"/>
    </row>
    <row r="1264" spans="1:4">
      <c r="A1264" t="s">
        <v>3785</v>
      </c>
      <c r="B1264" t="s">
        <v>3785</v>
      </c>
      <c r="C1264" s="98">
        <f>VLOOKUP(A1264,References!$C:$D,2,0)</f>
        <v>233.13131313131314</v>
      </c>
      <c r="D1264" s="97"/>
    </row>
    <row r="1265" spans="1:4">
      <c r="A1265" t="s">
        <v>3788</v>
      </c>
      <c r="B1265" t="s">
        <v>3788</v>
      </c>
      <c r="C1265" s="98">
        <f>VLOOKUP(A1265,References!$C:$D,2,0)</f>
        <v>129.24528301886792</v>
      </c>
      <c r="D1265" s="97"/>
    </row>
    <row r="1266" spans="1:4">
      <c r="A1266" t="s">
        <v>3792</v>
      </c>
      <c r="B1266" t="s">
        <v>3792</v>
      </c>
      <c r="C1266" s="98">
        <f>VLOOKUP(A1266,References!$C:$D,2,0)</f>
        <v>196.42553191489361</v>
      </c>
      <c r="D1266" s="97"/>
    </row>
    <row r="1267" spans="1:4">
      <c r="A1267" t="s">
        <v>3167</v>
      </c>
      <c r="B1267" t="s">
        <v>3167</v>
      </c>
      <c r="C1267" s="98">
        <f>VLOOKUP(A1267,References!$C:$D,2,0)</f>
        <v>188.40816326530611</v>
      </c>
      <c r="D1267" s="97"/>
    </row>
    <row r="1268" spans="1:4">
      <c r="A1268" t="s">
        <v>3798</v>
      </c>
      <c r="B1268" t="s">
        <v>3798</v>
      </c>
      <c r="C1268" s="98">
        <f>VLOOKUP(A1268,References!$C:$D,2,0)</f>
        <v>233.13131313131314</v>
      </c>
      <c r="D1268" s="97"/>
    </row>
    <row r="1269" spans="1:4">
      <c r="A1269" t="s">
        <v>3801</v>
      </c>
      <c r="B1269" t="s">
        <v>3801</v>
      </c>
      <c r="C1269" s="98">
        <f>VLOOKUP(A1269,References!$C:$D,2,0)</f>
        <v>231.9597989949749</v>
      </c>
      <c r="D1269" s="97"/>
    </row>
    <row r="1270" spans="1:4">
      <c r="A1270" t="s">
        <v>3042</v>
      </c>
      <c r="B1270" t="s">
        <v>3042</v>
      </c>
      <c r="C1270" s="98">
        <f>VLOOKUP(A1270,References!$C:$D,2,0)</f>
        <v>233.13131313131314</v>
      </c>
      <c r="D1270" s="97"/>
    </row>
    <row r="1271" spans="1:4">
      <c r="A1271" t="s">
        <v>3807</v>
      </c>
      <c r="B1271" t="s">
        <v>3807</v>
      </c>
      <c r="C1271" s="98">
        <f>VLOOKUP(A1271,References!$C:$D,2,0)</f>
        <v>188.40816326530611</v>
      </c>
      <c r="D1271" s="97"/>
    </row>
    <row r="1272" spans="1:4">
      <c r="A1272" t="s">
        <v>3109</v>
      </c>
      <c r="B1272" t="s">
        <v>5264</v>
      </c>
      <c r="C1272" s="98">
        <f>VLOOKUP(A1272,References!$C:$D,2,0)</f>
        <v>191.40816326530611</v>
      </c>
      <c r="D1272" s="97"/>
    </row>
    <row r="1273" spans="1:4">
      <c r="A1273" t="s">
        <v>1718</v>
      </c>
      <c r="B1273" t="s">
        <v>1718</v>
      </c>
      <c r="C1273" s="98">
        <f>VLOOKUP(A1273,References!$C:$D,2,0)</f>
        <v>135.75539568345323</v>
      </c>
      <c r="D1273" s="97"/>
    </row>
    <row r="1274" spans="1:4">
      <c r="A1274" t="s">
        <v>2439</v>
      </c>
      <c r="B1274" t="s">
        <v>2439</v>
      </c>
      <c r="C1274" s="98">
        <f>VLOOKUP(A1274,References!$C:$D,2,0)</f>
        <v>135.75539568345323</v>
      </c>
      <c r="D1274" s="97"/>
    </row>
    <row r="1275" spans="1:4">
      <c r="A1275" t="s">
        <v>3815</v>
      </c>
      <c r="B1275" t="s">
        <v>3815</v>
      </c>
      <c r="C1275" s="98">
        <f>VLOOKUP(A1275,References!$C:$D,2,0)</f>
        <v>129.24528301886792</v>
      </c>
      <c r="D1275" s="97"/>
    </row>
    <row r="1276" spans="1:4">
      <c r="A1276" t="s">
        <v>3366</v>
      </c>
      <c r="B1276" t="s">
        <v>5265</v>
      </c>
      <c r="C1276" s="98">
        <f>VLOOKUP(A1276,References!$C:$D,2,0)</f>
        <v>97.938375350140063</v>
      </c>
      <c r="D1276" s="97"/>
    </row>
    <row r="1277" spans="1:4">
      <c r="A1277" t="s">
        <v>2851</v>
      </c>
      <c r="B1277" t="s">
        <v>5266</v>
      </c>
      <c r="C1277" s="98">
        <f>VLOOKUP(A1277,References!$C:$D,2,0)</f>
        <v>231.9597989949749</v>
      </c>
      <c r="D1277" s="97"/>
    </row>
    <row r="1278" spans="1:4">
      <c r="A1278" t="s">
        <v>3819</v>
      </c>
      <c r="B1278" t="s">
        <v>3819</v>
      </c>
      <c r="C1278" s="98">
        <f>VLOOKUP(A1278,References!$C:$D,2,0)</f>
        <v>234.31472081218274</v>
      </c>
      <c r="D1278" s="97"/>
    </row>
    <row r="1279" spans="1:4">
      <c r="A1279" t="s">
        <v>3823</v>
      </c>
      <c r="B1279" t="s">
        <v>3823</v>
      </c>
      <c r="C1279" s="98">
        <f>VLOOKUP(A1279,References!$C:$D,2,0)</f>
        <v>95.938375350140063</v>
      </c>
      <c r="D1279" s="97"/>
    </row>
    <row r="1280" spans="1:4">
      <c r="A1280" t="s">
        <v>3826</v>
      </c>
      <c r="B1280" t="s">
        <v>3826</v>
      </c>
      <c r="C1280" s="98">
        <f>VLOOKUP(A1280,References!$C:$D,2,0)</f>
        <v>191.53526970954357</v>
      </c>
      <c r="D1280" s="97"/>
    </row>
    <row r="1281" spans="1:4">
      <c r="A1281" t="s">
        <v>1613</v>
      </c>
      <c r="B1281" t="s">
        <v>5267</v>
      </c>
      <c r="C1281" s="98">
        <f>VLOOKUP(A1281,References!$C:$D,2,0)</f>
        <v>231.9597989949749</v>
      </c>
      <c r="D1281" s="97"/>
    </row>
    <row r="1282" spans="1:4">
      <c r="A1282" t="s">
        <v>3830</v>
      </c>
      <c r="B1282" t="s">
        <v>3830</v>
      </c>
      <c r="C1282" s="98">
        <f>VLOOKUP(A1282,References!$C:$D,2,0)</f>
        <v>97.938375350140063</v>
      </c>
      <c r="D1282" s="97"/>
    </row>
    <row r="1283" spans="1:4">
      <c r="A1283" t="s">
        <v>1611</v>
      </c>
      <c r="B1283" t="s">
        <v>5268</v>
      </c>
      <c r="C1283" s="98">
        <f>VLOOKUP(A1283,References!$C:$D,2,0)</f>
        <v>231.9597989949749</v>
      </c>
      <c r="D1283" s="97"/>
    </row>
    <row r="1284" spans="1:4">
      <c r="A1284" t="s">
        <v>3834</v>
      </c>
      <c r="B1284" t="s">
        <v>3834</v>
      </c>
      <c r="C1284" s="98">
        <f>VLOOKUP(A1284,References!$C:$D,2,0)</f>
        <v>190.74380165289256</v>
      </c>
      <c r="D1284" s="97"/>
    </row>
    <row r="1285" spans="1:4">
      <c r="A1285" t="s">
        <v>2256</v>
      </c>
      <c r="B1285" t="s">
        <v>5269</v>
      </c>
      <c r="C1285" s="98">
        <f>VLOOKUP(A1285,References!$C:$D,2,0)</f>
        <v>231.9597989949749</v>
      </c>
      <c r="D1285" s="97"/>
    </row>
    <row r="1286" spans="1:4">
      <c r="A1286" t="s">
        <v>3837</v>
      </c>
      <c r="B1286" t="s">
        <v>3837</v>
      </c>
      <c r="C1286" s="98">
        <f>VLOOKUP(A1286,References!$C:$D,2,0)</f>
        <v>191.53526970954357</v>
      </c>
      <c r="D1286" s="97"/>
    </row>
    <row r="1287" spans="1:4">
      <c r="A1287" t="s">
        <v>3840</v>
      </c>
      <c r="B1287" t="s">
        <v>3840</v>
      </c>
      <c r="C1287" s="98">
        <f>VLOOKUP(A1287,References!$C:$D,2,0)</f>
        <v>233.13131313131314</v>
      </c>
      <c r="D1287" s="97"/>
    </row>
    <row r="1288" spans="1:4">
      <c r="A1288" t="s">
        <v>3844</v>
      </c>
      <c r="B1288" t="s">
        <v>3844</v>
      </c>
      <c r="C1288" s="98">
        <f>VLOOKUP(A1288,References!$C:$D,2,0)</f>
        <v>190.74380165289256</v>
      </c>
      <c r="D1288" s="97"/>
    </row>
    <row r="1289" spans="1:4">
      <c r="A1289" t="s">
        <v>3847</v>
      </c>
      <c r="B1289" t="s">
        <v>3847</v>
      </c>
      <c r="C1289" s="98">
        <f>VLOOKUP(A1289,References!$C:$D,2,0)</f>
        <v>234.31472081218274</v>
      </c>
      <c r="D1289" s="97"/>
    </row>
    <row r="1290" spans="1:4">
      <c r="A1290" t="s">
        <v>1675</v>
      </c>
      <c r="B1290" t="s">
        <v>1675</v>
      </c>
      <c r="C1290" s="98">
        <f>VLOOKUP(A1290,References!$C:$D,2,0)</f>
        <v>233.13131313131314</v>
      </c>
      <c r="D1290" s="97"/>
    </row>
    <row r="1291" spans="1:4">
      <c r="A1291" t="s">
        <v>1611</v>
      </c>
      <c r="B1291" t="s">
        <v>1611</v>
      </c>
      <c r="C1291" s="98">
        <f>VLOOKUP(A1291,References!$C:$D,2,0)</f>
        <v>231.9597989949749</v>
      </c>
      <c r="D1291" s="97"/>
    </row>
    <row r="1292" spans="1:4">
      <c r="A1292" t="s">
        <v>1643</v>
      </c>
      <c r="B1292" t="s">
        <v>5270</v>
      </c>
      <c r="C1292" s="98">
        <f>VLOOKUP(A1292,References!$C:$D,2,0)</f>
        <v>231.9597989949749</v>
      </c>
      <c r="D1292" s="97"/>
    </row>
    <row r="1293" spans="1:4">
      <c r="A1293" t="s">
        <v>3853</v>
      </c>
      <c r="B1293" t="s">
        <v>3853</v>
      </c>
      <c r="C1293" s="98">
        <f>VLOOKUP(A1293,References!$C:$D,2,0)</f>
        <v>234.31472081218274</v>
      </c>
      <c r="D1293" s="97"/>
    </row>
    <row r="1294" spans="1:4">
      <c r="A1294" t="s">
        <v>3856</v>
      </c>
      <c r="B1294" t="s">
        <v>3856</v>
      </c>
      <c r="C1294" s="98">
        <f>VLOOKUP(A1294,References!$C:$D,2,0)</f>
        <v>2</v>
      </c>
      <c r="D1294" s="97"/>
    </row>
    <row r="1295" spans="1:4">
      <c r="A1295" t="s">
        <v>3859</v>
      </c>
      <c r="B1295" t="s">
        <v>3859</v>
      </c>
      <c r="C1295" s="98">
        <f>VLOOKUP(A1295,References!$C:$D,2,0)</f>
        <v>190.74380165289256</v>
      </c>
      <c r="D1295" s="97"/>
    </row>
    <row r="1296" spans="1:4">
      <c r="A1296" t="s">
        <v>3862</v>
      </c>
      <c r="B1296" t="s">
        <v>3862</v>
      </c>
      <c r="C1296" s="98">
        <f>VLOOKUP(A1296,References!$C:$D,2,0)</f>
        <v>231.9597989949749</v>
      </c>
      <c r="D1296" s="97"/>
    </row>
    <row r="1297" spans="1:4">
      <c r="A1297" t="s">
        <v>1649</v>
      </c>
      <c r="B1297" t="s">
        <v>1649</v>
      </c>
      <c r="C1297" s="98">
        <f>VLOOKUP(A1297,References!$C:$D,2,0)</f>
        <v>231.9597989949749</v>
      </c>
      <c r="D1297" s="97"/>
    </row>
    <row r="1298" spans="1:4">
      <c r="A1298" t="s">
        <v>3866</v>
      </c>
      <c r="B1298" t="s">
        <v>3866</v>
      </c>
      <c r="C1298" s="98">
        <f>VLOOKUP(A1298,References!$C:$D,2,0)</f>
        <v>190.74380165289256</v>
      </c>
      <c r="D1298" s="97"/>
    </row>
    <row r="1299" spans="1:4">
      <c r="A1299" t="s">
        <v>1620</v>
      </c>
      <c r="B1299" t="s">
        <v>1620</v>
      </c>
      <c r="C1299" s="98">
        <f>VLOOKUP(A1299,References!$C:$D,2,0)</f>
        <v>231.9597989949749</v>
      </c>
      <c r="D1299" s="97"/>
    </row>
    <row r="1300" spans="1:4">
      <c r="A1300" t="s">
        <v>3871</v>
      </c>
      <c r="B1300" t="s">
        <v>3871</v>
      </c>
      <c r="C1300" s="98">
        <f>VLOOKUP(A1300,References!$C:$D,2,0)</f>
        <v>231.9597989949749</v>
      </c>
      <c r="D1300" s="97"/>
    </row>
    <row r="1301" spans="1:4">
      <c r="A1301" t="s">
        <v>3875</v>
      </c>
      <c r="B1301" t="s">
        <v>3875</v>
      </c>
      <c r="C1301" s="98">
        <f>VLOOKUP(A1301,References!$C:$D,2,0)</f>
        <v>135.75539568345323</v>
      </c>
      <c r="D1301" s="97"/>
    </row>
    <row r="1302" spans="1:4">
      <c r="A1302" t="s">
        <v>3756</v>
      </c>
      <c r="B1302" t="s">
        <v>5271</v>
      </c>
      <c r="C1302" s="98">
        <f>VLOOKUP(A1302,References!$C:$D,2,0)</f>
        <v>188.40816326530611</v>
      </c>
      <c r="D1302" s="97"/>
    </row>
    <row r="1303" spans="1:4">
      <c r="A1303" t="s">
        <v>3878</v>
      </c>
      <c r="B1303" t="s">
        <v>3878</v>
      </c>
      <c r="C1303" s="98">
        <f>VLOOKUP(A1303,References!$C:$D,2,0)</f>
        <v>144.25</v>
      </c>
      <c r="D1303" s="97"/>
    </row>
    <row r="1304" spans="1:4">
      <c r="A1304" t="s">
        <v>2270</v>
      </c>
      <c r="B1304" t="s">
        <v>2270</v>
      </c>
      <c r="C1304" s="98">
        <f>VLOOKUP(A1304,References!$C:$D,2,0)</f>
        <v>233.13131313131314</v>
      </c>
      <c r="D1304" s="97"/>
    </row>
    <row r="1305" spans="1:4">
      <c r="A1305" t="s">
        <v>3883</v>
      </c>
      <c r="B1305" t="s">
        <v>3883</v>
      </c>
      <c r="C1305" s="98">
        <f>VLOOKUP(A1305,References!$C:$D,2,0)</f>
        <v>95.938375350140063</v>
      </c>
      <c r="D1305" s="97"/>
    </row>
    <row r="1306" spans="1:4">
      <c r="A1306" t="s">
        <v>3375</v>
      </c>
      <c r="B1306" t="s">
        <v>3375</v>
      </c>
      <c r="C1306" s="98">
        <f>VLOOKUP(A1306,References!$C:$D,2,0)</f>
        <v>234.31472081218274</v>
      </c>
      <c r="D1306" s="97"/>
    </row>
    <row r="1307" spans="1:4">
      <c r="A1307" t="s">
        <v>3888</v>
      </c>
      <c r="B1307" t="s">
        <v>3888</v>
      </c>
      <c r="C1307" s="98">
        <f>VLOOKUP(A1307,References!$C:$D,2,0)</f>
        <v>234.9597989949749</v>
      </c>
      <c r="D1307" s="97"/>
    </row>
    <row r="1308" spans="1:4">
      <c r="A1308" t="s">
        <v>3891</v>
      </c>
      <c r="B1308" t="s">
        <v>3891</v>
      </c>
      <c r="C1308" s="98">
        <f>VLOOKUP(A1308,References!$C:$D,2,0)</f>
        <v>2</v>
      </c>
      <c r="D1308" s="97"/>
    </row>
    <row r="1309" spans="1:4">
      <c r="A1309" t="s">
        <v>3893</v>
      </c>
      <c r="B1309" t="s">
        <v>3893</v>
      </c>
      <c r="C1309" s="98">
        <f>VLOOKUP(A1309,References!$C:$D,2,0)</f>
        <v>131.73076923076923</v>
      </c>
      <c r="D1309" s="97"/>
    </row>
    <row r="1310" spans="1:4">
      <c r="A1310" t="s">
        <v>3896</v>
      </c>
      <c r="B1310" t="s">
        <v>3896</v>
      </c>
      <c r="C1310" s="98">
        <f>VLOOKUP(A1310,References!$C:$D,2,0)</f>
        <v>231.9597989949749</v>
      </c>
      <c r="D1310" s="97"/>
    </row>
    <row r="1311" spans="1:4">
      <c r="A1311" t="s">
        <v>3900</v>
      </c>
      <c r="B1311" t="s">
        <v>3900</v>
      </c>
      <c r="C1311" s="98">
        <f>VLOOKUP(A1311,References!$C:$D,2,0)</f>
        <v>234.31472081218274</v>
      </c>
      <c r="D1311" s="97"/>
    </row>
    <row r="1312" spans="1:4">
      <c r="A1312" t="s">
        <v>3903</v>
      </c>
      <c r="B1312" t="s">
        <v>3903</v>
      </c>
      <c r="C1312" s="98">
        <f>VLOOKUP(A1312,References!$C:$D,2,0)</f>
        <v>217.73584905660377</v>
      </c>
      <c r="D1312" s="97"/>
    </row>
    <row r="1313" spans="1:4">
      <c r="A1313" t="s">
        <v>3907</v>
      </c>
      <c r="B1313" t="s">
        <v>5272</v>
      </c>
      <c r="C1313" s="98">
        <f>VLOOKUP(A1313,References!$C:$D,2,0)</f>
        <v>231.2092403554291</v>
      </c>
      <c r="D1313" s="97"/>
    </row>
    <row r="1314" spans="1:4">
      <c r="A1314" t="s">
        <v>1616</v>
      </c>
      <c r="B1314" t="s">
        <v>5273</v>
      </c>
      <c r="C1314" s="98">
        <f>VLOOKUP(A1314,References!$C:$D,2,0)</f>
        <v>231.9597989949749</v>
      </c>
      <c r="D1314" s="97"/>
    </row>
    <row r="1315" spans="1:4">
      <c r="A1315" t="s">
        <v>3908</v>
      </c>
      <c r="B1315" t="s">
        <v>3908</v>
      </c>
      <c r="C1315" s="98">
        <f>VLOOKUP(A1315,References!$C:$D,2,0)</f>
        <v>233.13131313131314</v>
      </c>
      <c r="D1315" s="97"/>
    </row>
    <row r="1316" spans="1:4">
      <c r="A1316" t="s">
        <v>3911</v>
      </c>
      <c r="B1316" t="s">
        <v>3911</v>
      </c>
      <c r="C1316" s="98">
        <f>VLOOKUP(A1316,References!$C:$D,2,0)</f>
        <v>188.40816326530611</v>
      </c>
      <c r="D1316" s="97"/>
    </row>
    <row r="1317" spans="1:4">
      <c r="A1317" t="s">
        <v>1622</v>
      </c>
      <c r="B1317" t="s">
        <v>1622</v>
      </c>
      <c r="C1317" s="98">
        <f>VLOOKUP(A1317,References!$C:$D,2,0)</f>
        <v>231.9597989949749</v>
      </c>
      <c r="D1317" s="97"/>
    </row>
    <row r="1318" spans="1:4">
      <c r="A1318" t="s">
        <v>3916</v>
      </c>
      <c r="B1318" t="s">
        <v>3916</v>
      </c>
      <c r="C1318" s="98">
        <f>VLOOKUP(A1318,References!$C:$D,2,0)</f>
        <v>233.13131313131314</v>
      </c>
      <c r="D1318" s="97"/>
    </row>
    <row r="1319" spans="1:4">
      <c r="A1319" t="s">
        <v>3919</v>
      </c>
      <c r="B1319" t="s">
        <v>3919</v>
      </c>
      <c r="C1319" s="98">
        <f>VLOOKUP(A1319,References!$C:$D,2,0)</f>
        <v>231.9597989949749</v>
      </c>
      <c r="D1319" s="97"/>
    </row>
    <row r="1320" spans="1:4">
      <c r="A1320" t="s">
        <v>3922</v>
      </c>
      <c r="B1320" t="s">
        <v>5274</v>
      </c>
      <c r="C1320" s="98">
        <f>VLOOKUP(A1320,References!$C:$D,2,0)</f>
        <v>188.40816326530611</v>
      </c>
      <c r="D1320" s="97"/>
    </row>
    <row r="1321" spans="1:4">
      <c r="A1321" t="s">
        <v>3924</v>
      </c>
      <c r="B1321" t="s">
        <v>3924</v>
      </c>
      <c r="C1321" s="98">
        <f>VLOOKUP(A1321,References!$C:$D,2,0)</f>
        <v>135.75539568345323</v>
      </c>
      <c r="D1321" s="97"/>
    </row>
    <row r="1322" spans="1:4">
      <c r="A1322" t="s">
        <v>2087</v>
      </c>
      <c r="B1322" t="s">
        <v>2087</v>
      </c>
      <c r="C1322" s="98">
        <f>VLOOKUP(A1322,References!$C:$D,2,0)</f>
        <v>97.938375350140063</v>
      </c>
      <c r="D1322" s="97"/>
    </row>
    <row r="1323" spans="1:4">
      <c r="A1323" t="s">
        <v>2204</v>
      </c>
      <c r="B1323" t="s">
        <v>5275</v>
      </c>
      <c r="C1323" s="98">
        <f>VLOOKUP(A1323,References!$C:$D,2,0)</f>
        <v>231.9597989949749</v>
      </c>
      <c r="D1323" s="97"/>
    </row>
    <row r="1324" spans="1:4">
      <c r="A1324" t="s">
        <v>1737</v>
      </c>
      <c r="B1324" t="s">
        <v>5276</v>
      </c>
      <c r="C1324" s="98">
        <f>VLOOKUP(A1324,References!$C:$D,2,0)</f>
        <v>190.74380165289256</v>
      </c>
      <c r="D1324" s="97"/>
    </row>
    <row r="1325" spans="1:4">
      <c r="A1325" t="s">
        <v>2102</v>
      </c>
      <c r="B1325" t="s">
        <v>2102</v>
      </c>
      <c r="C1325" s="98">
        <f>VLOOKUP(A1325,References!$C:$D,2,0)</f>
        <v>135.75539568345323</v>
      </c>
      <c r="D1325" s="97"/>
    </row>
    <row r="1326" spans="1:4">
      <c r="A1326" t="s">
        <v>1724</v>
      </c>
      <c r="B1326" t="s">
        <v>5277</v>
      </c>
      <c r="C1326" s="98">
        <f>VLOOKUP(A1326,References!$C:$D,2,0)</f>
        <v>135.75539568345323</v>
      </c>
      <c r="D1326" s="97"/>
    </row>
    <row r="1327" spans="1:4">
      <c r="A1327" t="s">
        <v>3932</v>
      </c>
      <c r="B1327" t="s">
        <v>3932</v>
      </c>
      <c r="C1327" s="98">
        <f>VLOOKUP(A1327,References!$C:$D,2,0)</f>
        <v>97.938375350140063</v>
      </c>
      <c r="D1327" s="97"/>
    </row>
    <row r="1328" spans="1:4">
      <c r="A1328" t="s">
        <v>3936</v>
      </c>
      <c r="B1328" t="s">
        <v>3936</v>
      </c>
      <c r="C1328" s="98">
        <f>VLOOKUP(A1328,References!$C:$D,2,0)</f>
        <v>217.73584905660377</v>
      </c>
      <c r="D1328" s="97"/>
    </row>
    <row r="1329" spans="1:4">
      <c r="A1329" t="s">
        <v>3940</v>
      </c>
      <c r="B1329" t="s">
        <v>3940</v>
      </c>
      <c r="C1329" s="98">
        <f>VLOOKUP(A1329,References!$C:$D,2,0)</f>
        <v>144.25</v>
      </c>
      <c r="D1329" s="97"/>
    </row>
    <row r="1330" spans="1:4">
      <c r="A1330" t="s">
        <v>3943</v>
      </c>
      <c r="B1330" t="s">
        <v>3943</v>
      </c>
      <c r="C1330" s="98">
        <f>VLOOKUP(A1330,References!$C:$D,2,0)</f>
        <v>234.31472081218274</v>
      </c>
      <c r="D1330" s="97"/>
    </row>
    <row r="1331" spans="1:4">
      <c r="A1331" t="s">
        <v>3946</v>
      </c>
      <c r="B1331" t="s">
        <v>3946</v>
      </c>
      <c r="C1331" s="98">
        <f>VLOOKUP(A1331,References!$C:$D,2,0)</f>
        <v>217.73584905660377</v>
      </c>
      <c r="D1331" s="97"/>
    </row>
    <row r="1332" spans="1:4">
      <c r="A1332" t="s">
        <v>3690</v>
      </c>
      <c r="B1332" t="s">
        <v>5278</v>
      </c>
      <c r="C1332" s="98">
        <f>VLOOKUP(A1332,References!$C:$D,2,0)</f>
        <v>234.31472081218274</v>
      </c>
      <c r="D1332" s="97"/>
    </row>
    <row r="1333" spans="1:4">
      <c r="A1333" t="s">
        <v>3949</v>
      </c>
      <c r="B1333" t="s">
        <v>3949</v>
      </c>
      <c r="C1333" s="98">
        <f>VLOOKUP(A1333,References!$C:$D,2,0)</f>
        <v>129.24528301886792</v>
      </c>
      <c r="D1333" s="97"/>
    </row>
    <row r="1334" spans="1:4">
      <c r="A1334" t="s">
        <v>3952</v>
      </c>
      <c r="B1334" t="s">
        <v>3952</v>
      </c>
      <c r="C1334" s="98">
        <f>VLOOKUP(A1334,References!$C:$D,2,0)</f>
        <v>190.74380165289256</v>
      </c>
      <c r="D1334" s="97"/>
    </row>
    <row r="1335" spans="1:4">
      <c r="A1335" t="s">
        <v>3421</v>
      </c>
      <c r="B1335" t="s">
        <v>3421</v>
      </c>
      <c r="C1335" s="98">
        <f>VLOOKUP(A1335,References!$C:$D,2,0)</f>
        <v>135.75539568345323</v>
      </c>
      <c r="D1335" s="97"/>
    </row>
    <row r="1336" spans="1:4">
      <c r="A1336" t="s">
        <v>3956</v>
      </c>
      <c r="B1336" t="s">
        <v>3956</v>
      </c>
      <c r="C1336" s="98">
        <f>VLOOKUP(A1336,References!$C:$D,2,0)</f>
        <v>233.13131313131314</v>
      </c>
      <c r="D1336" s="97"/>
    </row>
    <row r="1337" spans="1:4">
      <c r="A1337" t="s">
        <v>3959</v>
      </c>
      <c r="B1337" t="s">
        <v>3959</v>
      </c>
      <c r="C1337" s="98">
        <f>VLOOKUP(A1337,References!$C:$D,2,0)</f>
        <v>2</v>
      </c>
      <c r="D1337" s="97"/>
    </row>
    <row r="1338" spans="1:4">
      <c r="A1338" t="s">
        <v>3962</v>
      </c>
      <c r="B1338" t="s">
        <v>3962</v>
      </c>
      <c r="C1338" s="98">
        <f>VLOOKUP(A1338,References!$C:$D,2,0)</f>
        <v>217.73584905660377</v>
      </c>
      <c r="D1338" s="97"/>
    </row>
    <row r="1339" spans="1:4">
      <c r="A1339" t="s">
        <v>3965</v>
      </c>
      <c r="B1339" t="s">
        <v>3965</v>
      </c>
      <c r="C1339" s="98">
        <f>VLOOKUP(A1339,References!$C:$D,2,0)</f>
        <v>233.13131313131314</v>
      </c>
      <c r="D1339" s="97"/>
    </row>
    <row r="1340" spans="1:4">
      <c r="A1340" t="s">
        <v>3968</v>
      </c>
      <c r="B1340" t="s">
        <v>3968</v>
      </c>
      <c r="C1340" s="98">
        <f>VLOOKUP(A1340,References!$C:$D,2,0)</f>
        <v>97.938375350140063</v>
      </c>
      <c r="D1340" s="97"/>
    </row>
    <row r="1341" spans="1:4">
      <c r="A1341" t="s">
        <v>3971</v>
      </c>
      <c r="B1341" t="s">
        <v>3971</v>
      </c>
      <c r="C1341" s="98">
        <f>VLOOKUP(A1341,References!$C:$D,2,0)</f>
        <v>233.13131313131314</v>
      </c>
      <c r="D1341" s="97"/>
    </row>
    <row r="1342" spans="1:4">
      <c r="A1342" t="s">
        <v>1616</v>
      </c>
      <c r="B1342" t="s">
        <v>5279</v>
      </c>
      <c r="C1342" s="98">
        <f>VLOOKUP(A1342,References!$C:$D,2,0)</f>
        <v>231.9597989949749</v>
      </c>
      <c r="D1342" s="97"/>
    </row>
    <row r="1343" spans="1:4">
      <c r="A1343" t="s">
        <v>3975</v>
      </c>
      <c r="B1343" t="s">
        <v>3975</v>
      </c>
      <c r="C1343" s="98">
        <f>VLOOKUP(A1343,References!$C:$D,2,0)</f>
        <v>231.9597989949749</v>
      </c>
      <c r="D1343" s="97"/>
    </row>
    <row r="1344" spans="1:4">
      <c r="A1344" t="s">
        <v>1737</v>
      </c>
      <c r="B1344" t="s">
        <v>1737</v>
      </c>
      <c r="C1344" s="98">
        <f>VLOOKUP(A1344,References!$C:$D,2,0)</f>
        <v>190.74380165289256</v>
      </c>
      <c r="D1344" s="97"/>
    </row>
    <row r="1345" spans="1:4">
      <c r="A1345" t="s">
        <v>3978</v>
      </c>
      <c r="B1345" t="s">
        <v>3978</v>
      </c>
      <c r="C1345" s="98">
        <f>VLOOKUP(A1345,References!$C:$D,2,0)</f>
        <v>191.53526970954357</v>
      </c>
      <c r="D1345" s="97"/>
    </row>
    <row r="1346" spans="1:4">
      <c r="A1346" t="s">
        <v>1613</v>
      </c>
      <c r="B1346" t="s">
        <v>1613</v>
      </c>
      <c r="C1346" s="98">
        <f>VLOOKUP(A1346,References!$C:$D,2,0)</f>
        <v>231.9597989949749</v>
      </c>
      <c r="D1346" s="97"/>
    </row>
    <row r="1347" spans="1:4">
      <c r="A1347" t="s">
        <v>3982</v>
      </c>
      <c r="B1347" t="s">
        <v>3982</v>
      </c>
      <c r="C1347" s="98">
        <f>VLOOKUP(A1347,References!$C:$D,2,0)</f>
        <v>191.53526970954357</v>
      </c>
      <c r="D1347" s="97"/>
    </row>
    <row r="1348" spans="1:4">
      <c r="A1348" t="s">
        <v>3985</v>
      </c>
      <c r="B1348" t="s">
        <v>3985</v>
      </c>
      <c r="C1348" s="98">
        <f>VLOOKUP(A1348,References!$C:$D,2,0)</f>
        <v>234.31472081218274</v>
      </c>
      <c r="D1348" s="97"/>
    </row>
    <row r="1349" spans="1:4">
      <c r="A1349" t="s">
        <v>3988</v>
      </c>
      <c r="B1349" t="s">
        <v>3988</v>
      </c>
      <c r="C1349" s="98">
        <f>VLOOKUP(A1349,References!$C:$D,2,0)</f>
        <v>135.75539568345323</v>
      </c>
      <c r="D1349" s="97"/>
    </row>
    <row r="1350" spans="1:4">
      <c r="A1350" t="s">
        <v>3992</v>
      </c>
      <c r="B1350" t="s">
        <v>3992</v>
      </c>
      <c r="C1350" s="98">
        <f>VLOOKUP(A1350,References!$C:$D,2,0)</f>
        <v>190.74380165289256</v>
      </c>
      <c r="D1350" s="97"/>
    </row>
    <row r="1351" spans="1:4">
      <c r="A1351" t="s">
        <v>3995</v>
      </c>
      <c r="B1351" t="s">
        <v>3995</v>
      </c>
      <c r="C1351" s="98">
        <f>VLOOKUP(A1351,References!$C:$D,2,0)</f>
        <v>190.74380165289256</v>
      </c>
      <c r="D1351" s="97"/>
    </row>
    <row r="1352" spans="1:4">
      <c r="A1352" t="s">
        <v>3998</v>
      </c>
      <c r="B1352" t="s">
        <v>3998</v>
      </c>
      <c r="C1352" s="98">
        <f>VLOOKUP(A1352,References!$C:$D,2,0)</f>
        <v>234.31472081218274</v>
      </c>
      <c r="D1352" s="97"/>
    </row>
    <row r="1353" spans="1:4">
      <c r="A1353" t="s">
        <v>4001</v>
      </c>
      <c r="B1353" t="s">
        <v>4001</v>
      </c>
      <c r="C1353" s="98">
        <f>VLOOKUP(A1353,References!$C:$D,2,0)</f>
        <v>131.73076923076923</v>
      </c>
      <c r="D1353" s="97"/>
    </row>
    <row r="1354" spans="1:4">
      <c r="A1354" t="s">
        <v>1826</v>
      </c>
      <c r="B1354" t="s">
        <v>5280</v>
      </c>
      <c r="C1354" s="98">
        <f>VLOOKUP(A1354,References!$C:$D,2,0)</f>
        <v>233.13131313131314</v>
      </c>
      <c r="D1354" s="97"/>
    </row>
    <row r="1355" spans="1:4">
      <c r="A1355" t="s">
        <v>3922</v>
      </c>
      <c r="B1355" t="s">
        <v>3922</v>
      </c>
      <c r="C1355" s="98">
        <f>VLOOKUP(A1355,References!$C:$D,2,0)</f>
        <v>188.40816326530611</v>
      </c>
      <c r="D1355" s="97"/>
    </row>
    <row r="1356" spans="1:4">
      <c r="A1356" t="s">
        <v>4007</v>
      </c>
      <c r="B1356" t="s">
        <v>4007</v>
      </c>
      <c r="C1356" s="98">
        <f>VLOOKUP(A1356,References!$C:$D,2,0)</f>
        <v>192.33333333333334</v>
      </c>
      <c r="D1356" s="97"/>
    </row>
    <row r="1357" spans="1:4">
      <c r="A1357" t="s">
        <v>4011</v>
      </c>
      <c r="B1357" t="s">
        <v>4011</v>
      </c>
      <c r="C1357" s="98">
        <f>VLOOKUP(A1357,References!$C:$D,2,0)</f>
        <v>192.33333333333334</v>
      </c>
      <c r="D1357" s="97"/>
    </row>
    <row r="1358" spans="1:4">
      <c r="A1358" t="s">
        <v>4015</v>
      </c>
      <c r="B1358" t="s">
        <v>4015</v>
      </c>
      <c r="C1358" s="98">
        <f>VLOOKUP(A1358,References!$C:$D,2,0)</f>
        <v>233.13131313131314</v>
      </c>
      <c r="D1358" s="97"/>
    </row>
    <row r="1359" spans="1:4">
      <c r="A1359" t="s">
        <v>4018</v>
      </c>
      <c r="B1359" t="s">
        <v>4018</v>
      </c>
      <c r="C1359" s="98">
        <f>VLOOKUP(A1359,References!$C:$D,2,0)</f>
        <v>188.40816326530611</v>
      </c>
      <c r="D1359" s="97"/>
    </row>
    <row r="1360" spans="1:4">
      <c r="A1360" t="s">
        <v>4022</v>
      </c>
      <c r="B1360" t="s">
        <v>4022</v>
      </c>
      <c r="C1360" s="98">
        <f>VLOOKUP(A1360,References!$C:$D,2,0)</f>
        <v>129.24528301886792</v>
      </c>
      <c r="D1360" s="97"/>
    </row>
    <row r="1361" spans="1:4">
      <c r="A1361" t="s">
        <v>3911</v>
      </c>
      <c r="B1361" t="s">
        <v>5281</v>
      </c>
      <c r="C1361" s="98">
        <f>VLOOKUP(A1361,References!$C:$D,2,0)</f>
        <v>188.40816326530611</v>
      </c>
      <c r="D1361" s="97"/>
    </row>
    <row r="1362" spans="1:4">
      <c r="A1362" t="s">
        <v>4024</v>
      </c>
      <c r="B1362" t="s">
        <v>4024</v>
      </c>
      <c r="C1362" s="98">
        <f>VLOOKUP(A1362,References!$C:$D,2,0)</f>
        <v>190.74380165289256</v>
      </c>
      <c r="D1362" s="97"/>
    </row>
    <row r="1363" spans="1:4">
      <c r="A1363" t="s">
        <v>4027</v>
      </c>
      <c r="B1363" t="s">
        <v>4027</v>
      </c>
      <c r="C1363" s="98">
        <f>VLOOKUP(A1363,References!$C:$D,2,0)</f>
        <v>135.75539568345323</v>
      </c>
      <c r="D1363" s="97"/>
    </row>
    <row r="1364" spans="1:4">
      <c r="A1364" t="s">
        <v>4031</v>
      </c>
      <c r="B1364" t="s">
        <v>4031</v>
      </c>
      <c r="C1364" s="98">
        <f>VLOOKUP(A1364,References!$C:$D,2,0)</f>
        <v>135.75539568345323</v>
      </c>
      <c r="D1364" s="97"/>
    </row>
    <row r="1365" spans="1:4">
      <c r="A1365" t="s">
        <v>4035</v>
      </c>
      <c r="B1365" t="s">
        <v>4035</v>
      </c>
      <c r="C1365" s="98">
        <f>VLOOKUP(A1365,References!$C:$D,2,0)</f>
        <v>192.33333333333334</v>
      </c>
      <c r="D1365" s="97"/>
    </row>
    <row r="1366" spans="1:4">
      <c r="A1366" t="s">
        <v>4039</v>
      </c>
      <c r="B1366" t="s">
        <v>4039</v>
      </c>
      <c r="C1366" s="98">
        <f>VLOOKUP(A1366,References!$C:$D,2,0)</f>
        <v>196.42553191489361</v>
      </c>
      <c r="D1366" s="97"/>
    </row>
    <row r="1367" spans="1:4">
      <c r="A1367" t="s">
        <v>4043</v>
      </c>
      <c r="B1367" t="s">
        <v>4043</v>
      </c>
      <c r="C1367" s="98">
        <f>VLOOKUP(A1367,References!$C:$D,2,0)</f>
        <v>233.13131313131314</v>
      </c>
      <c r="D1367" s="97"/>
    </row>
    <row r="1368" spans="1:4">
      <c r="A1368" t="s">
        <v>2797</v>
      </c>
      <c r="B1368" t="s">
        <v>5282</v>
      </c>
      <c r="C1368" s="98">
        <f>VLOOKUP(A1368,References!$C:$D,2,0)</f>
        <v>97.938375350140063</v>
      </c>
      <c r="D1368" s="97"/>
    </row>
    <row r="1369" spans="1:4">
      <c r="A1369" t="s">
        <v>4046</v>
      </c>
      <c r="B1369" t="s">
        <v>4046</v>
      </c>
      <c r="C1369" s="98">
        <f>VLOOKUP(A1369,References!$C:$D,2,0)</f>
        <v>191.53526970954357</v>
      </c>
      <c r="D1369" s="97"/>
    </row>
    <row r="1370" spans="1:4">
      <c r="A1370" t="s">
        <v>4050</v>
      </c>
      <c r="B1370" t="s">
        <v>4050</v>
      </c>
      <c r="C1370" s="98">
        <f>VLOOKUP(A1370,References!$C:$D,2,0)</f>
        <v>231.9597989949749</v>
      </c>
      <c r="D1370" s="97"/>
    </row>
    <row r="1371" spans="1:4">
      <c r="A1371" t="s">
        <v>4053</v>
      </c>
      <c r="B1371" t="s">
        <v>4053</v>
      </c>
      <c r="C1371" s="98">
        <f>VLOOKUP(A1371,References!$C:$D,2,0)</f>
        <v>188.40816326530611</v>
      </c>
      <c r="D1371" s="97"/>
    </row>
    <row r="1372" spans="1:4">
      <c r="A1372" t="s">
        <v>4057</v>
      </c>
      <c r="B1372" t="s">
        <v>4057</v>
      </c>
      <c r="C1372" s="98">
        <f>VLOOKUP(A1372,References!$C:$D,2,0)</f>
        <v>234.31472081218274</v>
      </c>
      <c r="D1372" s="97"/>
    </row>
    <row r="1373" spans="1:4">
      <c r="A1373" t="s">
        <v>1999</v>
      </c>
      <c r="B1373" t="s">
        <v>1999</v>
      </c>
      <c r="C1373" s="98">
        <f>VLOOKUP(A1373,References!$C:$D,2,0)</f>
        <v>231.9597989949749</v>
      </c>
      <c r="D1373" s="97"/>
    </row>
    <row r="1374" spans="1:4">
      <c r="A1374" t="s">
        <v>4062</v>
      </c>
      <c r="B1374" t="s">
        <v>4062</v>
      </c>
      <c r="C1374" s="98">
        <f>VLOOKUP(A1374,References!$C:$D,2,0)</f>
        <v>209.81818181818181</v>
      </c>
      <c r="D1374" s="97"/>
    </row>
    <row r="1375" spans="1:4">
      <c r="A1375" t="s">
        <v>1655</v>
      </c>
      <c r="B1375" t="s">
        <v>1655</v>
      </c>
      <c r="C1375" s="98">
        <f>VLOOKUP(A1375,References!$C:$D,2,0)</f>
        <v>233.13131313131314</v>
      </c>
      <c r="D1375" s="97"/>
    </row>
    <row r="1376" spans="1:4">
      <c r="A1376" t="s">
        <v>4068</v>
      </c>
      <c r="B1376" t="s">
        <v>4068</v>
      </c>
      <c r="C1376" s="98">
        <f>VLOOKUP(A1376,References!$C:$D,2,0)</f>
        <v>190.74380165289256</v>
      </c>
      <c r="D1376" s="97"/>
    </row>
    <row r="1377" spans="1:4">
      <c r="A1377" t="s">
        <v>3330</v>
      </c>
      <c r="B1377" t="s">
        <v>3330</v>
      </c>
      <c r="C1377" s="98">
        <f>VLOOKUP(A1377,References!$C:$D,2,0)</f>
        <v>233.13131313131314</v>
      </c>
      <c r="D1377" s="97"/>
    </row>
    <row r="1378" spans="1:4">
      <c r="A1378" t="s">
        <v>4072</v>
      </c>
      <c r="B1378" t="s">
        <v>4072</v>
      </c>
      <c r="C1378" s="98">
        <f>VLOOKUP(A1378,References!$C:$D,2,0)</f>
        <v>233.13131313131314</v>
      </c>
      <c r="D1378" s="97"/>
    </row>
    <row r="1379" spans="1:4">
      <c r="A1379" t="s">
        <v>4076</v>
      </c>
      <c r="B1379" t="s">
        <v>4076</v>
      </c>
      <c r="C1379" s="98">
        <f>VLOOKUP(A1379,References!$C:$D,2,0)</f>
        <v>234.31472081218274</v>
      </c>
      <c r="D1379" s="97"/>
    </row>
    <row r="1380" spans="1:4">
      <c r="A1380" t="s">
        <v>4080</v>
      </c>
      <c r="B1380" t="s">
        <v>4080</v>
      </c>
      <c r="C1380" s="98">
        <f>VLOOKUP(A1380,References!$C:$D,2,0)</f>
        <v>234.31472081218274</v>
      </c>
      <c r="D1380" s="97"/>
    </row>
    <row r="1381" spans="1:4">
      <c r="A1381" t="s">
        <v>4083</v>
      </c>
      <c r="B1381" t="s">
        <v>4083</v>
      </c>
      <c r="C1381" s="98">
        <f>VLOOKUP(A1381,References!$C:$D,2,0)</f>
        <v>233.13131313131314</v>
      </c>
      <c r="D1381" s="97"/>
    </row>
    <row r="1382" spans="1:4">
      <c r="A1382" t="s">
        <v>4086</v>
      </c>
      <c r="B1382" t="s">
        <v>4086</v>
      </c>
      <c r="C1382" s="98">
        <f>VLOOKUP(A1382,References!$C:$D,2,0)</f>
        <v>135.75539568345323</v>
      </c>
      <c r="D1382" s="97"/>
    </row>
    <row r="1383" spans="1:4">
      <c r="A1383" t="s">
        <v>3230</v>
      </c>
      <c r="B1383" t="s">
        <v>5283</v>
      </c>
      <c r="C1383" s="98">
        <f>VLOOKUP(A1383,References!$C:$D,2,0)</f>
        <v>190.74380165289256</v>
      </c>
      <c r="D1383" s="97"/>
    </row>
    <row r="1384" spans="1:4">
      <c r="A1384" t="s">
        <v>1735</v>
      </c>
      <c r="B1384" t="s">
        <v>1735</v>
      </c>
      <c r="C1384" s="98">
        <f>VLOOKUP(A1384,References!$C:$D,2,0)</f>
        <v>190.74380165289256</v>
      </c>
      <c r="D1384" s="97"/>
    </row>
    <row r="1385" spans="1:4">
      <c r="A1385" t="s">
        <v>1694</v>
      </c>
      <c r="B1385" t="s">
        <v>1694</v>
      </c>
      <c r="C1385" s="98">
        <f>VLOOKUP(A1385,References!$C:$D,2,0)</f>
        <v>260.79096045197741</v>
      </c>
      <c r="D1385" s="97"/>
    </row>
    <row r="1386" spans="1:4">
      <c r="A1386" t="s">
        <v>4094</v>
      </c>
      <c r="B1386" t="s">
        <v>4094</v>
      </c>
      <c r="C1386" s="98">
        <f>VLOOKUP(A1386,References!$C:$D,2,0)</f>
        <v>233.13131313131314</v>
      </c>
      <c r="D1386" s="97"/>
    </row>
    <row r="1387" spans="1:4">
      <c r="A1387" t="s">
        <v>4097</v>
      </c>
      <c r="B1387" t="s">
        <v>4097</v>
      </c>
      <c r="C1387" s="98">
        <f>VLOOKUP(A1387,References!$C:$D,2,0)</f>
        <v>233.13131313131314</v>
      </c>
      <c r="D1387" s="97"/>
    </row>
    <row r="1388" spans="1:4">
      <c r="A1388" t="s">
        <v>4100</v>
      </c>
      <c r="B1388" t="s">
        <v>4100</v>
      </c>
      <c r="C1388" s="98">
        <f>VLOOKUP(A1388,References!$C:$D,2,0)</f>
        <v>188.40816326530611</v>
      </c>
      <c r="D1388" s="97"/>
    </row>
    <row r="1389" spans="1:4">
      <c r="A1389" t="s">
        <v>1617</v>
      </c>
      <c r="B1389" t="s">
        <v>1617</v>
      </c>
      <c r="C1389" s="98">
        <f>VLOOKUP(A1389,References!$C:$D,2,0)</f>
        <v>231.9597989949749</v>
      </c>
      <c r="D1389" s="97"/>
    </row>
    <row r="1390" spans="1:4">
      <c r="A1390" t="s">
        <v>4106</v>
      </c>
      <c r="B1390" t="s">
        <v>4106</v>
      </c>
      <c r="C1390" s="98">
        <f>VLOOKUP(A1390,References!$C:$D,2,0)</f>
        <v>190.74380165289256</v>
      </c>
      <c r="D1390" s="97"/>
    </row>
    <row r="1391" spans="1:4">
      <c r="A1391" t="s">
        <v>4110</v>
      </c>
      <c r="B1391" t="s">
        <v>4110</v>
      </c>
      <c r="C1391" s="98">
        <f>VLOOKUP(A1391,References!$C:$D,2,0)</f>
        <v>233.13131313131314</v>
      </c>
      <c r="D1391" s="97"/>
    </row>
    <row r="1392" spans="1:4">
      <c r="A1392" t="s">
        <v>1705</v>
      </c>
      <c r="B1392" t="s">
        <v>1705</v>
      </c>
      <c r="C1392" s="98">
        <f>VLOOKUP(A1392,References!$C:$D,2,0)</f>
        <v>260.79096045197741</v>
      </c>
      <c r="D1392" s="97"/>
    </row>
    <row r="1393" spans="1:4">
      <c r="A1393" t="s">
        <v>2204</v>
      </c>
      <c r="B1393" t="s">
        <v>2204</v>
      </c>
      <c r="C1393" s="98">
        <f>VLOOKUP(A1393,References!$C:$D,2,0)</f>
        <v>231.9597989949749</v>
      </c>
      <c r="D1393" s="97"/>
    </row>
    <row r="1394" spans="1:4">
      <c r="A1394" t="s">
        <v>3907</v>
      </c>
      <c r="B1394" t="s">
        <v>3907</v>
      </c>
      <c r="C1394" s="98">
        <f>VLOOKUP(A1394,References!$C:$D,2,0)</f>
        <v>231.2092403554291</v>
      </c>
      <c r="D1394" s="97"/>
    </row>
    <row r="1395" spans="1:4">
      <c r="A1395" t="s">
        <v>4118</v>
      </c>
      <c r="B1395" t="s">
        <v>4118</v>
      </c>
      <c r="C1395" s="98">
        <f>VLOOKUP(A1395,References!$C:$D,2,0)</f>
        <v>135.75539568345323</v>
      </c>
      <c r="D1395" s="97"/>
    </row>
    <row r="1396" spans="1:4">
      <c r="A1396" t="s">
        <v>4121</v>
      </c>
      <c r="B1396" t="s">
        <v>4121</v>
      </c>
      <c r="C1396" s="98">
        <f>VLOOKUP(A1396,References!$C:$D,2,0)</f>
        <v>129.24528301886792</v>
      </c>
      <c r="D1396" s="97"/>
    </row>
    <row r="1397" spans="1:4">
      <c r="A1397" t="s">
        <v>3034</v>
      </c>
      <c r="B1397" t="s">
        <v>5284</v>
      </c>
      <c r="C1397" s="98">
        <f>VLOOKUP(A1397,References!$C:$D,2,0)</f>
        <v>217.73584905660377</v>
      </c>
      <c r="D1397" s="97"/>
    </row>
    <row r="1398" spans="1:4">
      <c r="A1398" t="s">
        <v>1693</v>
      </c>
      <c r="B1398" t="s">
        <v>1693</v>
      </c>
      <c r="C1398" s="98">
        <f>VLOOKUP(A1398,References!$C:$D,2,0)</f>
        <v>260.79096045197741</v>
      </c>
      <c r="D1398" s="97"/>
    </row>
    <row r="1399" spans="1:4">
      <c r="A1399" t="s">
        <v>1616</v>
      </c>
      <c r="B1399" t="s">
        <v>1616</v>
      </c>
      <c r="C1399" s="98">
        <f>VLOOKUP(A1399,References!$C:$D,2,0)</f>
        <v>231.9597989949749</v>
      </c>
      <c r="D1399" s="97"/>
    </row>
    <row r="1400" spans="1:4">
      <c r="A1400" t="s">
        <v>4129</v>
      </c>
      <c r="B1400" t="s">
        <v>4129</v>
      </c>
      <c r="C1400" s="98">
        <f>VLOOKUP(A1400,References!$C:$D,2,0)</f>
        <v>192.33333333333334</v>
      </c>
      <c r="D1400" s="97"/>
    </row>
    <row r="1401" spans="1:4">
      <c r="A1401" t="s">
        <v>2204</v>
      </c>
      <c r="B1401" t="s">
        <v>5285</v>
      </c>
      <c r="C1401" s="98">
        <f>VLOOKUP(A1401,References!$C:$D,2,0)</f>
        <v>231.9597989949749</v>
      </c>
      <c r="D1401" s="97"/>
    </row>
    <row r="1402" spans="1:4">
      <c r="A1402" t="s">
        <v>1616</v>
      </c>
      <c r="B1402" t="s">
        <v>5286</v>
      </c>
      <c r="C1402" s="98">
        <f>VLOOKUP(A1402,References!$C:$D,2,0)</f>
        <v>231.9597989949749</v>
      </c>
      <c r="D1402" s="97"/>
    </row>
    <row r="1403" spans="1:4">
      <c r="A1403" t="s">
        <v>1703</v>
      </c>
      <c r="B1403" t="s">
        <v>1703</v>
      </c>
      <c r="C1403" s="98">
        <f>VLOOKUP(A1403,References!$C:$D,2,0)</f>
        <v>260.79096045197741</v>
      </c>
      <c r="D1403" s="97"/>
    </row>
    <row r="1404" spans="1:4">
      <c r="A1404" t="s">
        <v>4134</v>
      </c>
      <c r="B1404" t="s">
        <v>4134</v>
      </c>
      <c r="C1404" s="98">
        <f>VLOOKUP(A1404,References!$C:$D,2,0)</f>
        <v>131.73076923076923</v>
      </c>
      <c r="D1404" s="97"/>
    </row>
    <row r="1405" spans="1:4">
      <c r="A1405" t="s">
        <v>2998</v>
      </c>
      <c r="B1405" t="s">
        <v>2998</v>
      </c>
      <c r="C1405" s="98">
        <f>VLOOKUP(A1405,References!$C:$D,2,0)</f>
        <v>95.938375350140063</v>
      </c>
      <c r="D1405" s="97"/>
    </row>
    <row r="1406" spans="1:4">
      <c r="A1406" t="s">
        <v>4138</v>
      </c>
      <c r="B1406" t="s">
        <v>4138</v>
      </c>
      <c r="C1406" s="98">
        <f>VLOOKUP(A1406,References!$C:$D,2,0)</f>
        <v>234.31472081218274</v>
      </c>
      <c r="D1406" s="97"/>
    </row>
    <row r="1407" spans="1:4">
      <c r="A1407" t="s">
        <v>4141</v>
      </c>
      <c r="B1407" t="s">
        <v>4141</v>
      </c>
      <c r="C1407" s="98">
        <f>VLOOKUP(A1407,References!$C:$D,2,0)</f>
        <v>135.75539568345323</v>
      </c>
      <c r="D1407" s="97"/>
    </row>
    <row r="1408" spans="1:4">
      <c r="A1408" t="s">
        <v>4145</v>
      </c>
      <c r="B1408" t="s">
        <v>4145</v>
      </c>
      <c r="C1408" s="98">
        <f>VLOOKUP(A1408,References!$C:$D,2,0)</f>
        <v>188.40816326530611</v>
      </c>
      <c r="D1408" s="97"/>
    </row>
    <row r="1409" spans="1:4">
      <c r="A1409" t="s">
        <v>4148</v>
      </c>
      <c r="B1409" t="s">
        <v>4148</v>
      </c>
      <c r="C1409" s="98">
        <f>VLOOKUP(A1409,References!$C:$D,2,0)</f>
        <v>234.31472081218274</v>
      </c>
      <c r="D1409" s="97"/>
    </row>
    <row r="1410" spans="1:4">
      <c r="A1410" t="s">
        <v>4151</v>
      </c>
      <c r="B1410" t="s">
        <v>4151</v>
      </c>
      <c r="C1410" s="98">
        <f>VLOOKUP(A1410,References!$C:$D,2,0)</f>
        <v>234.31472081218274</v>
      </c>
      <c r="D1410" s="97"/>
    </row>
    <row r="1411" spans="1:4">
      <c r="A1411" t="s">
        <v>4154</v>
      </c>
      <c r="B1411" t="s">
        <v>4154</v>
      </c>
      <c r="C1411" s="98">
        <f>VLOOKUP(A1411,References!$C:$D,2,0)</f>
        <v>135.75539568345323</v>
      </c>
      <c r="D1411" s="97"/>
    </row>
    <row r="1412" spans="1:4">
      <c r="A1412" t="s">
        <v>4158</v>
      </c>
      <c r="B1412" t="s">
        <v>4158</v>
      </c>
      <c r="C1412" s="98">
        <f>VLOOKUP(A1412,References!$C:$D,2,0)</f>
        <v>260.79096045197741</v>
      </c>
      <c r="D1412" s="97"/>
    </row>
    <row r="1413" spans="1:4">
      <c r="A1413" t="s">
        <v>1816</v>
      </c>
      <c r="B1413" t="s">
        <v>1816</v>
      </c>
      <c r="C1413" s="98">
        <f>VLOOKUP(A1413,References!$C:$D,2,0)</f>
        <v>233.13131313131314</v>
      </c>
      <c r="D1413" s="97"/>
    </row>
    <row r="1414" spans="1:4">
      <c r="A1414" t="s">
        <v>4163</v>
      </c>
      <c r="B1414" t="s">
        <v>4163</v>
      </c>
      <c r="C1414" s="98">
        <f>VLOOKUP(A1414,References!$C:$D,2,0)</f>
        <v>188.40816326530611</v>
      </c>
      <c r="D1414" s="97"/>
    </row>
    <row r="1415" spans="1:4">
      <c r="A1415" t="s">
        <v>4167</v>
      </c>
      <c r="B1415" t="s">
        <v>4167</v>
      </c>
      <c r="C1415" s="98">
        <f>VLOOKUP(A1415,References!$C:$D,2,0)</f>
        <v>191.53526970954357</v>
      </c>
      <c r="D1415" s="97"/>
    </row>
    <row r="1416" spans="1:4">
      <c r="A1416" t="s">
        <v>4171</v>
      </c>
      <c r="B1416" t="s">
        <v>4171</v>
      </c>
      <c r="C1416" s="98">
        <f>VLOOKUP(A1416,References!$C:$D,2,0)</f>
        <v>191.53526970954357</v>
      </c>
      <c r="D1416" s="97"/>
    </row>
    <row r="1417" spans="1:4">
      <c r="A1417" t="s">
        <v>183</v>
      </c>
      <c r="B1417" t="s">
        <v>5287</v>
      </c>
      <c r="C1417" s="98">
        <f>VLOOKUP(A1417,References!$C:$D,2,0)</f>
        <v>231.9597989949749</v>
      </c>
      <c r="D1417" s="97"/>
    </row>
    <row r="1418" spans="1:4">
      <c r="A1418" t="s">
        <v>4175</v>
      </c>
      <c r="B1418" t="s">
        <v>4175</v>
      </c>
      <c r="C1418" s="98">
        <f>VLOOKUP(A1418,References!$C:$D,2,0)</f>
        <v>2</v>
      </c>
      <c r="D1418" s="97"/>
    </row>
    <row r="1419" spans="1:4">
      <c r="A1419" t="s">
        <v>4178</v>
      </c>
      <c r="B1419" t="s">
        <v>4178</v>
      </c>
      <c r="C1419" s="98">
        <f>VLOOKUP(A1419,References!$C:$D,2,0)</f>
        <v>188.40816326530611</v>
      </c>
      <c r="D1419" s="97"/>
    </row>
    <row r="1420" spans="1:4">
      <c r="A1420" t="s">
        <v>4182</v>
      </c>
      <c r="B1420" t="s">
        <v>4182</v>
      </c>
      <c r="C1420" s="98">
        <f>VLOOKUP(A1420,References!$C:$D,2,0)</f>
        <v>191.40816326530611</v>
      </c>
      <c r="D1420" s="97"/>
    </row>
    <row r="1421" spans="1:4">
      <c r="A1421" t="s">
        <v>4185</v>
      </c>
      <c r="B1421" t="s">
        <v>4185</v>
      </c>
      <c r="C1421" s="98">
        <f>VLOOKUP(A1421,References!$C:$D,2,0)</f>
        <v>135.75539568345323</v>
      </c>
      <c r="D1421" s="97"/>
    </row>
    <row r="1422" spans="1:4">
      <c r="A1422" t="s">
        <v>4188</v>
      </c>
      <c r="B1422" t="s">
        <v>4188</v>
      </c>
      <c r="C1422" s="98">
        <f>VLOOKUP(A1422,References!$C:$D,2,0)</f>
        <v>217.73584905660377</v>
      </c>
      <c r="D1422" s="97"/>
    </row>
    <row r="1423" spans="1:4">
      <c r="A1423" t="s">
        <v>4191</v>
      </c>
      <c r="B1423" t="s">
        <v>5288</v>
      </c>
      <c r="C1423" s="98">
        <f>VLOOKUP(A1423,References!$C:$D,2,0)</f>
        <v>231.9597989949749</v>
      </c>
      <c r="D1423" s="97"/>
    </row>
    <row r="1424" spans="1:4">
      <c r="A1424" t="s">
        <v>4193</v>
      </c>
      <c r="B1424" t="s">
        <v>4193</v>
      </c>
      <c r="C1424" s="98">
        <f>VLOOKUP(A1424,References!$C:$D,2,0)</f>
        <v>233.13131313131314</v>
      </c>
      <c r="D1424" s="97"/>
    </row>
    <row r="1425" spans="1:4">
      <c r="A1425" t="s">
        <v>4196</v>
      </c>
      <c r="B1425" t="s">
        <v>4196</v>
      </c>
      <c r="C1425" s="98">
        <f>VLOOKUP(A1425,References!$C:$D,2,0)</f>
        <v>234.31472081218274</v>
      </c>
      <c r="D1425" s="97"/>
    </row>
    <row r="1426" spans="1:4">
      <c r="A1426" t="s">
        <v>4199</v>
      </c>
      <c r="B1426" t="s">
        <v>4199</v>
      </c>
      <c r="C1426" s="98">
        <f>VLOOKUP(A1426,References!$C:$D,2,0)</f>
        <v>191.53526970954357</v>
      </c>
      <c r="D1426" s="97"/>
    </row>
    <row r="1427" spans="1:4">
      <c r="A1427" t="s">
        <v>4203</v>
      </c>
      <c r="B1427" t="s">
        <v>4203</v>
      </c>
      <c r="C1427" s="98">
        <f>VLOOKUP(A1427,References!$C:$D,2,0)</f>
        <v>209.81818181818181</v>
      </c>
      <c r="D1427" s="97"/>
    </row>
    <row r="1428" spans="1:4">
      <c r="A1428" t="s">
        <v>4206</v>
      </c>
      <c r="B1428" t="s">
        <v>4206</v>
      </c>
      <c r="C1428" s="98">
        <f>VLOOKUP(A1428,References!$C:$D,2,0)</f>
        <v>190.74380165289256</v>
      </c>
      <c r="D1428" s="97"/>
    </row>
    <row r="1429" spans="1:4">
      <c r="A1429" t="s">
        <v>2864</v>
      </c>
      <c r="B1429" t="s">
        <v>2864</v>
      </c>
      <c r="C1429" s="98">
        <f>VLOOKUP(A1429,References!$C:$D,2,0)</f>
        <v>95.938375350140063</v>
      </c>
      <c r="D1429" s="97"/>
    </row>
    <row r="1430" spans="1:4">
      <c r="A1430" t="s">
        <v>1904</v>
      </c>
      <c r="B1430" t="s">
        <v>1904</v>
      </c>
      <c r="C1430" s="98">
        <f>VLOOKUP(A1430,References!$C:$D,2,0)</f>
        <v>217.73584905660377</v>
      </c>
      <c r="D1430" s="97"/>
    </row>
    <row r="1431" spans="1:4">
      <c r="A1431" t="s">
        <v>2854</v>
      </c>
      <c r="B1431" t="s">
        <v>5289</v>
      </c>
      <c r="C1431" s="98">
        <f>VLOOKUP(A1431,References!$C:$D,2,0)</f>
        <v>231.9597989949749</v>
      </c>
      <c r="D1431" s="97"/>
    </row>
    <row r="1432" spans="1:4">
      <c r="A1432" t="s">
        <v>4212</v>
      </c>
      <c r="B1432" t="s">
        <v>4212</v>
      </c>
      <c r="C1432" s="98">
        <f>VLOOKUP(A1432,References!$C:$D,2,0)</f>
        <v>234.31472081218274</v>
      </c>
      <c r="D1432" s="97"/>
    </row>
    <row r="1433" spans="1:4">
      <c r="A1433" t="s">
        <v>4215</v>
      </c>
      <c r="B1433" t="s">
        <v>4215</v>
      </c>
      <c r="C1433" s="98">
        <f>VLOOKUP(A1433,References!$C:$D,2,0)</f>
        <v>234.9597989949749</v>
      </c>
      <c r="D1433" s="97"/>
    </row>
    <row r="1434" spans="1:4">
      <c r="A1434" t="s">
        <v>4219</v>
      </c>
      <c r="B1434" t="s">
        <v>4219</v>
      </c>
      <c r="C1434" s="98">
        <f>VLOOKUP(A1434,References!$C:$D,2,0)</f>
        <v>2</v>
      </c>
      <c r="D1434" s="97"/>
    </row>
    <row r="1435" spans="1:4">
      <c r="A1435" t="s">
        <v>4221</v>
      </c>
      <c r="B1435" t="s">
        <v>4221</v>
      </c>
      <c r="C1435" s="98">
        <f>VLOOKUP(A1435,References!$C:$D,2,0)</f>
        <v>131.73076923076923</v>
      </c>
      <c r="D1435" s="97"/>
    </row>
    <row r="1436" spans="1:4">
      <c r="A1436" t="s">
        <v>2522</v>
      </c>
      <c r="B1436" t="s">
        <v>5290</v>
      </c>
      <c r="C1436" s="98">
        <f>VLOOKUP(A1436,References!$C:$D,2,0)</f>
        <v>135.75539568345323</v>
      </c>
      <c r="D1436" s="97"/>
    </row>
    <row r="1437" spans="1:4">
      <c r="A1437" t="s">
        <v>4224</v>
      </c>
      <c r="B1437" t="s">
        <v>4224</v>
      </c>
      <c r="C1437" s="98">
        <f>VLOOKUP(A1437,References!$C:$D,2,0)</f>
        <v>234.31472081218274</v>
      </c>
      <c r="D1437" s="97"/>
    </row>
    <row r="1438" spans="1:4">
      <c r="A1438" t="s">
        <v>1743</v>
      </c>
      <c r="B1438" t="s">
        <v>1743</v>
      </c>
      <c r="C1438" s="98">
        <f>VLOOKUP(A1438,References!$C:$D,2,0)</f>
        <v>190.74380165289256</v>
      </c>
      <c r="D1438" s="97"/>
    </row>
    <row r="1439" spans="1:4">
      <c r="A1439" t="s">
        <v>3415</v>
      </c>
      <c r="B1439" t="s">
        <v>3415</v>
      </c>
      <c r="C1439" s="98">
        <f>VLOOKUP(A1439,References!$C:$D,2,0)</f>
        <v>188.40816326530611</v>
      </c>
      <c r="D1439" s="97"/>
    </row>
    <row r="1440" spans="1:4">
      <c r="A1440" t="s">
        <v>1657</v>
      </c>
      <c r="B1440" t="s">
        <v>1657</v>
      </c>
      <c r="C1440" s="98">
        <f>VLOOKUP(A1440,References!$C:$D,2,0)</f>
        <v>233.13131313131314</v>
      </c>
      <c r="D1440" s="97"/>
    </row>
    <row r="1441" spans="1:4">
      <c r="A1441" t="s">
        <v>3020</v>
      </c>
      <c r="B1441" t="s">
        <v>5291</v>
      </c>
      <c r="C1441" s="98">
        <f>VLOOKUP(A1441,References!$C:$D,2,0)</f>
        <v>135.75539568345323</v>
      </c>
      <c r="D1441" s="97"/>
    </row>
    <row r="1442" spans="1:4">
      <c r="A1442" t="s">
        <v>4233</v>
      </c>
      <c r="B1442" t="s">
        <v>4233</v>
      </c>
      <c r="C1442" s="98">
        <f>VLOOKUP(A1442,References!$C:$D,2,0)</f>
        <v>231.9597989949749</v>
      </c>
      <c r="D1442" s="97"/>
    </row>
    <row r="1443" spans="1:4">
      <c r="A1443" t="s">
        <v>4237</v>
      </c>
      <c r="B1443" t="s">
        <v>4237</v>
      </c>
      <c r="C1443" s="98">
        <f>VLOOKUP(A1443,References!$C:$D,2,0)</f>
        <v>234.31472081218274</v>
      </c>
      <c r="D1443" s="97"/>
    </row>
    <row r="1444" spans="1:4">
      <c r="A1444" t="s">
        <v>4240</v>
      </c>
      <c r="B1444" t="s">
        <v>4240</v>
      </c>
      <c r="C1444" s="98">
        <f>VLOOKUP(A1444,References!$C:$D,2,0)</f>
        <v>217.73584905660377</v>
      </c>
      <c r="D1444" s="97"/>
    </row>
    <row r="1445" spans="1:4">
      <c r="A1445" t="s">
        <v>4244</v>
      </c>
      <c r="B1445" t="s">
        <v>4244</v>
      </c>
      <c r="C1445" s="98">
        <f>VLOOKUP(A1445,References!$C:$D,2,0)</f>
        <v>190.74380165289256</v>
      </c>
      <c r="D1445" s="97"/>
    </row>
    <row r="1446" spans="1:4">
      <c r="A1446" t="s">
        <v>1653</v>
      </c>
      <c r="B1446" t="s">
        <v>1653</v>
      </c>
      <c r="C1446" s="98">
        <f>VLOOKUP(A1446,References!$C:$D,2,0)</f>
        <v>231.9597989949749</v>
      </c>
      <c r="D1446" s="97"/>
    </row>
    <row r="1447" spans="1:4">
      <c r="A1447" t="s">
        <v>4250</v>
      </c>
      <c r="B1447" t="s">
        <v>4250</v>
      </c>
      <c r="C1447" s="98">
        <f>VLOOKUP(A1447,References!$C:$D,2,0)</f>
        <v>233.13131313131314</v>
      </c>
      <c r="D1447" s="97"/>
    </row>
    <row r="1448" spans="1:4">
      <c r="A1448" t="s">
        <v>4253</v>
      </c>
      <c r="B1448" t="s">
        <v>4253</v>
      </c>
      <c r="C1448" s="98">
        <f>VLOOKUP(A1448,References!$C:$D,2,0)</f>
        <v>233.13131313131314</v>
      </c>
      <c r="D1448" s="97"/>
    </row>
    <row r="1449" spans="1:4">
      <c r="A1449" t="s">
        <v>4256</v>
      </c>
      <c r="B1449" t="s">
        <v>4256</v>
      </c>
      <c r="C1449" s="98">
        <f>VLOOKUP(A1449,References!$C:$D,2,0)</f>
        <v>188.40816326530611</v>
      </c>
      <c r="D1449" s="97"/>
    </row>
    <row r="1450" spans="1:4">
      <c r="A1450" t="s">
        <v>2540</v>
      </c>
      <c r="B1450" t="s">
        <v>2540</v>
      </c>
      <c r="C1450" s="98">
        <f>VLOOKUP(A1450,References!$C:$D,2,0)</f>
        <v>95.938375350140063</v>
      </c>
      <c r="D1450" s="97"/>
    </row>
    <row r="1451" spans="1:4">
      <c r="A1451" t="s">
        <v>4262</v>
      </c>
      <c r="B1451" t="s">
        <v>4262</v>
      </c>
      <c r="C1451" s="98">
        <f>VLOOKUP(A1451,References!$C:$D,2,0)</f>
        <v>217.73584905660377</v>
      </c>
      <c r="D1451" s="97"/>
    </row>
    <row r="1452" spans="1:4">
      <c r="A1452" t="s">
        <v>4191</v>
      </c>
      <c r="B1452" t="s">
        <v>4191</v>
      </c>
      <c r="C1452" s="98">
        <f>VLOOKUP(A1452,References!$C:$D,2,0)</f>
        <v>231.9597989949749</v>
      </c>
      <c r="D1452" s="97"/>
    </row>
    <row r="1453" spans="1:4">
      <c r="A1453" t="s">
        <v>4268</v>
      </c>
      <c r="B1453" t="s">
        <v>4268</v>
      </c>
      <c r="C1453" s="98">
        <f>VLOOKUP(A1453,References!$C:$D,2,0)</f>
        <v>192.33333333333334</v>
      </c>
      <c r="D1453" s="97"/>
    </row>
    <row r="1454" spans="1:4">
      <c r="A1454" t="s">
        <v>2830</v>
      </c>
      <c r="B1454" t="s">
        <v>5292</v>
      </c>
      <c r="C1454" s="98">
        <f>VLOOKUP(A1454,References!$C:$D,2,0)</f>
        <v>231.9597989949749</v>
      </c>
      <c r="D1454" s="97"/>
    </row>
    <row r="1455" spans="1:4">
      <c r="A1455" t="s">
        <v>4271</v>
      </c>
      <c r="B1455" t="s">
        <v>4271</v>
      </c>
      <c r="C1455" s="98">
        <f>VLOOKUP(A1455,References!$C:$D,2,0)</f>
        <v>260.79096045197741</v>
      </c>
      <c r="D1455" s="97"/>
    </row>
    <row r="1456" spans="1:4">
      <c r="A1456" t="s">
        <v>3062</v>
      </c>
      <c r="B1456" t="s">
        <v>3062</v>
      </c>
      <c r="C1456" s="98">
        <f>VLOOKUP(A1456,References!$C:$D,2,0)</f>
        <v>135.75539568345323</v>
      </c>
      <c r="D1456" s="97"/>
    </row>
    <row r="1457" spans="1:4">
      <c r="A1457" t="s">
        <v>4277</v>
      </c>
      <c r="B1457" t="s">
        <v>4277</v>
      </c>
      <c r="C1457" s="98">
        <f>VLOOKUP(A1457,References!$C:$D,2,0)</f>
        <v>192.33333333333334</v>
      </c>
      <c r="D1457" s="97"/>
    </row>
    <row r="1458" spans="1:4">
      <c r="A1458" t="s">
        <v>4280</v>
      </c>
      <c r="B1458" t="s">
        <v>4280</v>
      </c>
      <c r="C1458" s="98">
        <f>VLOOKUP(A1458,References!$C:$D,2,0)</f>
        <v>135.75539568345323</v>
      </c>
      <c r="D1458" s="97"/>
    </row>
    <row r="1459" spans="1:4">
      <c r="A1459" t="s">
        <v>2254</v>
      </c>
      <c r="B1459" t="s">
        <v>2254</v>
      </c>
      <c r="C1459" s="98">
        <f>VLOOKUP(A1459,References!$C:$D,2,0)</f>
        <v>231.9597989949749</v>
      </c>
      <c r="D1459" s="97"/>
    </row>
    <row r="1460" spans="1:4">
      <c r="A1460" t="s">
        <v>4285</v>
      </c>
      <c r="B1460" t="s">
        <v>4285</v>
      </c>
      <c r="C1460" s="98">
        <f>VLOOKUP(A1460,References!$C:$D,2,0)</f>
        <v>190.74380165289256</v>
      </c>
      <c r="D1460" s="97"/>
    </row>
    <row r="1461" spans="1:4">
      <c r="A1461" t="s">
        <v>1767</v>
      </c>
      <c r="B1461" t="s">
        <v>1767</v>
      </c>
      <c r="C1461" s="98">
        <f>VLOOKUP(A1461,References!$C:$D,2,0)</f>
        <v>190.74380165289256</v>
      </c>
      <c r="D1461" s="97"/>
    </row>
    <row r="1462" spans="1:4">
      <c r="A1462" t="s">
        <v>4289</v>
      </c>
      <c r="B1462" t="s">
        <v>4289</v>
      </c>
      <c r="C1462" s="98">
        <f>VLOOKUP(A1462,References!$C:$D,2,0)</f>
        <v>233.13131313131314</v>
      </c>
      <c r="D1462" s="97"/>
    </row>
    <row r="1463" spans="1:4">
      <c r="A1463" t="s">
        <v>1621</v>
      </c>
      <c r="B1463" t="s">
        <v>1621</v>
      </c>
      <c r="C1463" s="98">
        <f>VLOOKUP(A1463,References!$C:$D,2,0)</f>
        <v>231.9597989949749</v>
      </c>
      <c r="D1463" s="97"/>
    </row>
    <row r="1464" spans="1:4">
      <c r="A1464" t="s">
        <v>4294</v>
      </c>
      <c r="B1464" t="s">
        <v>4294</v>
      </c>
      <c r="C1464" s="98">
        <f>VLOOKUP(A1464,References!$C:$D,2,0)</f>
        <v>192.33333333333334</v>
      </c>
      <c r="D1464" s="97"/>
    </row>
    <row r="1465" spans="1:4">
      <c r="A1465" t="s">
        <v>1723</v>
      </c>
      <c r="B1465" t="s">
        <v>1723</v>
      </c>
      <c r="C1465" s="98">
        <f>VLOOKUP(A1465,References!$C:$D,2,0)</f>
        <v>135.75539568345323</v>
      </c>
      <c r="D1465" s="97"/>
    </row>
    <row r="1466" spans="1:4">
      <c r="A1466" t="s">
        <v>4299</v>
      </c>
      <c r="B1466" t="s">
        <v>4299</v>
      </c>
      <c r="C1466" s="98">
        <f>VLOOKUP(A1466,References!$C:$D,2,0)</f>
        <v>2</v>
      </c>
      <c r="D1466" s="97"/>
    </row>
    <row r="1467" spans="1:4">
      <c r="A1467" t="s">
        <v>1616</v>
      </c>
      <c r="B1467" t="s">
        <v>5293</v>
      </c>
      <c r="C1467" s="98">
        <f>VLOOKUP(A1467,References!$C:$D,2,0)</f>
        <v>231.9597989949749</v>
      </c>
      <c r="D1467" s="97"/>
    </row>
    <row r="1468" spans="1:4">
      <c r="A1468" t="s">
        <v>4302</v>
      </c>
      <c r="B1468" t="s">
        <v>4302</v>
      </c>
      <c r="C1468" s="98">
        <f>VLOOKUP(A1468,References!$C:$D,2,0)</f>
        <v>233.13131313131314</v>
      </c>
      <c r="D1468" s="97"/>
    </row>
    <row r="1469" spans="1:4">
      <c r="A1469" t="s">
        <v>4306</v>
      </c>
      <c r="B1469" t="s">
        <v>4306</v>
      </c>
      <c r="C1469" s="98">
        <f>VLOOKUP(A1469,References!$C:$D,2,0)</f>
        <v>97.938375350140063</v>
      </c>
      <c r="D1469" s="97"/>
    </row>
    <row r="1470" spans="1:4">
      <c r="A1470" t="s">
        <v>4309</v>
      </c>
      <c r="B1470" t="s">
        <v>4309</v>
      </c>
      <c r="C1470" s="98">
        <f>VLOOKUP(A1470,References!$C:$D,2,0)</f>
        <v>95.938375350140063</v>
      </c>
      <c r="D1470" s="97"/>
    </row>
    <row r="1471" spans="1:4">
      <c r="A1471" t="s">
        <v>4313</v>
      </c>
      <c r="B1471" t="s">
        <v>4313</v>
      </c>
      <c r="C1471" s="98">
        <f>VLOOKUP(A1471,References!$C:$D,2,0)</f>
        <v>188.40816326530611</v>
      </c>
      <c r="D1471" s="97"/>
    </row>
    <row r="1472" spans="1:4">
      <c r="A1472" t="s">
        <v>4317</v>
      </c>
      <c r="B1472" t="s">
        <v>4317</v>
      </c>
      <c r="C1472" s="98">
        <f>VLOOKUP(A1472,References!$C:$D,2,0)</f>
        <v>260.79096045197741</v>
      </c>
      <c r="D1472" s="97"/>
    </row>
    <row r="1473" spans="1:4">
      <c r="A1473" t="s">
        <v>1739</v>
      </c>
      <c r="B1473" t="s">
        <v>1739</v>
      </c>
      <c r="C1473" s="98">
        <f>VLOOKUP(A1473,References!$C:$D,2,0)</f>
        <v>190.74380165289256</v>
      </c>
      <c r="D1473" s="97"/>
    </row>
    <row r="1474" spans="1:4">
      <c r="A1474" t="s">
        <v>4321</v>
      </c>
      <c r="B1474" t="s">
        <v>4321</v>
      </c>
      <c r="C1474" s="98">
        <f>VLOOKUP(A1474,References!$C:$D,2,0)</f>
        <v>2</v>
      </c>
      <c r="D1474" s="97"/>
    </row>
    <row r="1475" spans="1:4">
      <c r="A1475" t="s">
        <v>4324</v>
      </c>
      <c r="B1475" t="s">
        <v>4324</v>
      </c>
      <c r="C1475" s="98">
        <f>VLOOKUP(A1475,References!$C:$D,2,0)</f>
        <v>233.13131313131314</v>
      </c>
      <c r="D1475" s="97"/>
    </row>
    <row r="1476" spans="1:4">
      <c r="A1476" t="s">
        <v>1611</v>
      </c>
      <c r="B1476" t="s">
        <v>5294</v>
      </c>
      <c r="C1476" s="98">
        <f>VLOOKUP(A1476,References!$C:$D,2,0)</f>
        <v>231.9597989949749</v>
      </c>
      <c r="D1476" s="97"/>
    </row>
    <row r="1477" spans="1:4">
      <c r="A1477" t="s">
        <v>4327</v>
      </c>
      <c r="B1477" t="s">
        <v>4327</v>
      </c>
      <c r="C1477" s="98">
        <f>VLOOKUP(A1477,References!$C:$D,2,0)</f>
        <v>97.938375350140063</v>
      </c>
      <c r="D1477" s="97"/>
    </row>
    <row r="1478" spans="1:4">
      <c r="A1478" t="s">
        <v>4331</v>
      </c>
      <c r="B1478" t="s">
        <v>4331</v>
      </c>
      <c r="C1478" s="98">
        <f>VLOOKUP(A1478,References!$C:$D,2,0)</f>
        <v>188.40816326530611</v>
      </c>
      <c r="D1478" s="97"/>
    </row>
    <row r="1479" spans="1:4">
      <c r="A1479" t="s">
        <v>4335</v>
      </c>
      <c r="B1479" t="s">
        <v>4335</v>
      </c>
      <c r="C1479" s="98">
        <f>VLOOKUP(A1479,References!$C:$D,2,0)</f>
        <v>307.73333333333335</v>
      </c>
      <c r="D1479" s="97"/>
    </row>
    <row r="1480" spans="1:4">
      <c r="A1480" t="s">
        <v>4338</v>
      </c>
      <c r="B1480" t="s">
        <v>4338</v>
      </c>
      <c r="C1480" s="98">
        <f>VLOOKUP(A1480,References!$C:$D,2,0)</f>
        <v>192.33333333333334</v>
      </c>
      <c r="D1480" s="97"/>
    </row>
    <row r="1481" spans="1:4">
      <c r="A1481" t="s">
        <v>2683</v>
      </c>
      <c r="B1481" t="s">
        <v>5295</v>
      </c>
      <c r="C1481" s="98">
        <f>VLOOKUP(A1481,References!$C:$D,2,0)</f>
        <v>95.938375350140063</v>
      </c>
      <c r="D1481" s="97"/>
    </row>
    <row r="1482" spans="1:4">
      <c r="A1482" t="s">
        <v>4342</v>
      </c>
      <c r="B1482" t="s">
        <v>4342</v>
      </c>
      <c r="C1482" s="98">
        <f>VLOOKUP(A1482,References!$C:$D,2,0)</f>
        <v>95.938375350140063</v>
      </c>
      <c r="D1482" s="97"/>
    </row>
    <row r="1483" spans="1:4">
      <c r="A1483" t="s">
        <v>3127</v>
      </c>
      <c r="B1483" t="s">
        <v>5296</v>
      </c>
      <c r="C1483" s="98">
        <f>VLOOKUP(A1483,References!$C:$D,2,0)</f>
        <v>95.938375350140063</v>
      </c>
      <c r="D1483" s="97"/>
    </row>
    <row r="1484" spans="1:4">
      <c r="A1484" t="s">
        <v>4346</v>
      </c>
      <c r="B1484" t="s">
        <v>4346</v>
      </c>
      <c r="C1484" s="98">
        <f>VLOOKUP(A1484,References!$C:$D,2,0)</f>
        <v>95.938375350140063</v>
      </c>
      <c r="D1484" s="97"/>
    </row>
    <row r="1485" spans="1:4">
      <c r="A1485" t="s">
        <v>3883</v>
      </c>
      <c r="B1485" t="s">
        <v>5297</v>
      </c>
      <c r="C1485" s="98">
        <f>VLOOKUP(A1485,References!$C:$D,2,0)</f>
        <v>95.938375350140063</v>
      </c>
      <c r="D1485" s="97"/>
    </row>
    <row r="1486" spans="1:4">
      <c r="A1486" t="s">
        <v>4350</v>
      </c>
      <c r="B1486" t="s">
        <v>4350</v>
      </c>
      <c r="C1486" s="98">
        <f>VLOOKUP(A1486,References!$C:$D,2,0)</f>
        <v>95.938375350140063</v>
      </c>
      <c r="D1486" s="97"/>
    </row>
    <row r="1487" spans="1:4">
      <c r="A1487" t="s">
        <v>3487</v>
      </c>
      <c r="B1487" t="s">
        <v>5298</v>
      </c>
      <c r="C1487" s="98">
        <f>VLOOKUP(A1487,References!$C:$D,2,0)</f>
        <v>95.938375350140063</v>
      </c>
      <c r="D1487" s="97"/>
    </row>
    <row r="1488" spans="1:4">
      <c r="A1488" t="s">
        <v>4354</v>
      </c>
      <c r="B1488" t="s">
        <v>4354</v>
      </c>
      <c r="C1488" s="98">
        <f>VLOOKUP(A1488,References!$C:$D,2,0)</f>
        <v>95.938375350140063</v>
      </c>
      <c r="D1488" s="97"/>
    </row>
    <row r="1489" spans="1:4">
      <c r="A1489" t="s">
        <v>4358</v>
      </c>
      <c r="B1489" t="s">
        <v>4358</v>
      </c>
      <c r="C1489" s="98">
        <f>VLOOKUP(A1489,References!$C:$D,2,0)</f>
        <v>95.938375350140063</v>
      </c>
      <c r="D1489" s="97"/>
    </row>
    <row r="1490" spans="1:4">
      <c r="A1490" t="s">
        <v>4362</v>
      </c>
      <c r="B1490" t="s">
        <v>4362</v>
      </c>
      <c r="C1490" s="98">
        <f>VLOOKUP(A1490,References!$C:$D,2,0)</f>
        <v>95.938375350140063</v>
      </c>
      <c r="D1490" s="97"/>
    </row>
    <row r="1491" spans="1:4">
      <c r="A1491" t="s">
        <v>4366</v>
      </c>
      <c r="B1491" t="s">
        <v>4366</v>
      </c>
      <c r="C1491" s="98">
        <f>VLOOKUP(A1491,References!$C:$D,2,0)</f>
        <v>95.938375350140063</v>
      </c>
      <c r="D1491" s="97"/>
    </row>
    <row r="1492" spans="1:4">
      <c r="A1492" t="s">
        <v>4370</v>
      </c>
      <c r="B1492" t="s">
        <v>4370</v>
      </c>
      <c r="C1492" s="98">
        <f>VLOOKUP(A1492,References!$C:$D,2,0)</f>
        <v>95.938375350140063</v>
      </c>
      <c r="D1492" s="97"/>
    </row>
    <row r="1493" spans="1:4">
      <c r="A1493" t="s">
        <v>2608</v>
      </c>
      <c r="B1493" t="s">
        <v>5299</v>
      </c>
      <c r="C1493" s="98">
        <f>VLOOKUP(A1493,References!$C:$D,2,0)</f>
        <v>95.938375350140063</v>
      </c>
      <c r="D1493" s="97"/>
    </row>
    <row r="1494" spans="1:4">
      <c r="A1494" t="s">
        <v>4374</v>
      </c>
      <c r="B1494" t="s">
        <v>4374</v>
      </c>
      <c r="C1494" s="98">
        <f>VLOOKUP(A1494,References!$C:$D,2,0)</f>
        <v>95.938375350140063</v>
      </c>
      <c r="D1494" s="97"/>
    </row>
    <row r="1495" spans="1:4">
      <c r="A1495" t="s">
        <v>3595</v>
      </c>
      <c r="B1495" t="s">
        <v>5300</v>
      </c>
      <c r="C1495" s="98">
        <f>VLOOKUP(A1495,References!$C:$D,2,0)</f>
        <v>95.938375350140063</v>
      </c>
      <c r="D1495" s="97"/>
    </row>
    <row r="1496" spans="1:4">
      <c r="A1496" t="s">
        <v>4378</v>
      </c>
      <c r="B1496" t="s">
        <v>4378</v>
      </c>
      <c r="C1496" s="98">
        <f>VLOOKUP(A1496,References!$C:$D,2,0)</f>
        <v>95.938375350140063</v>
      </c>
      <c r="D1496" s="97"/>
    </row>
    <row r="1497" spans="1:4">
      <c r="A1497" t="s">
        <v>4382</v>
      </c>
      <c r="B1497" t="s">
        <v>4382</v>
      </c>
      <c r="C1497" s="98">
        <f>VLOOKUP(A1497,References!$C:$D,2,0)</f>
        <v>95.938375350140063</v>
      </c>
      <c r="D1497" s="97"/>
    </row>
    <row r="1498" spans="1:4">
      <c r="A1498" t="s">
        <v>4385</v>
      </c>
      <c r="B1498" t="s">
        <v>4385</v>
      </c>
      <c r="C1498" s="98">
        <f>VLOOKUP(A1498,References!$C:$D,2,0)</f>
        <v>95.938375350140063</v>
      </c>
      <c r="D1498" s="97"/>
    </row>
    <row r="1499" spans="1:4">
      <c r="A1499" t="s">
        <v>3470</v>
      </c>
      <c r="B1499" t="s">
        <v>5301</v>
      </c>
      <c r="C1499" s="98">
        <f>VLOOKUP(A1499,References!$C:$D,2,0)</f>
        <v>95.938375350140063</v>
      </c>
      <c r="D1499" s="97"/>
    </row>
    <row r="1500" spans="1:4">
      <c r="A1500" t="s">
        <v>4389</v>
      </c>
      <c r="B1500" t="s">
        <v>4389</v>
      </c>
      <c r="C1500" s="98">
        <f>VLOOKUP(A1500,References!$C:$D,2,0)</f>
        <v>95.938375350140063</v>
      </c>
      <c r="D1500" s="97"/>
    </row>
    <row r="1501" spans="1:4">
      <c r="A1501" t="s">
        <v>2540</v>
      </c>
      <c r="B1501" t="s">
        <v>5302</v>
      </c>
      <c r="C1501" s="98">
        <f>VLOOKUP(A1501,References!$C:$D,2,0)</f>
        <v>95.938375350140063</v>
      </c>
      <c r="D1501" s="97"/>
    </row>
    <row r="1502" spans="1:4">
      <c r="A1502" t="s">
        <v>4393</v>
      </c>
      <c r="B1502" t="s">
        <v>4393</v>
      </c>
      <c r="C1502" s="98">
        <f>VLOOKUP(A1502,References!$C:$D,2,0)</f>
        <v>95.938375350140063</v>
      </c>
      <c r="D1502" s="97"/>
    </row>
    <row r="1503" spans="1:4">
      <c r="A1503" t="s">
        <v>2788</v>
      </c>
      <c r="B1503" t="s">
        <v>5303</v>
      </c>
      <c r="C1503" s="98">
        <f>VLOOKUP(A1503,References!$C:$D,2,0)</f>
        <v>95.938375350140063</v>
      </c>
      <c r="D1503" s="97"/>
    </row>
    <row r="1504" spans="1:4">
      <c r="A1504" t="s">
        <v>4397</v>
      </c>
      <c r="B1504" t="s">
        <v>4397</v>
      </c>
      <c r="C1504" s="98">
        <f>VLOOKUP(A1504,References!$C:$D,2,0)</f>
        <v>95.938375350140063</v>
      </c>
      <c r="D1504" s="97"/>
    </row>
    <row r="1505" spans="1:4">
      <c r="A1505" t="s">
        <v>4401</v>
      </c>
      <c r="B1505" t="s">
        <v>4401</v>
      </c>
      <c r="C1505" s="98">
        <f>VLOOKUP(A1505,References!$C:$D,2,0)</f>
        <v>95.938375350140063</v>
      </c>
      <c r="D1505" s="97"/>
    </row>
    <row r="1506" spans="1:4">
      <c r="A1506" t="s">
        <v>4405</v>
      </c>
      <c r="B1506" t="s">
        <v>4405</v>
      </c>
      <c r="C1506" s="98">
        <f>VLOOKUP(A1506,References!$C:$D,2,0)</f>
        <v>95.938375350140063</v>
      </c>
      <c r="D1506" s="97"/>
    </row>
    <row r="1507" spans="1:4">
      <c r="A1507" t="s">
        <v>4409</v>
      </c>
      <c r="B1507" t="s">
        <v>4409</v>
      </c>
      <c r="C1507" s="98">
        <f>VLOOKUP(A1507,References!$C:$D,2,0)</f>
        <v>95.938375350140063</v>
      </c>
      <c r="D1507" s="97"/>
    </row>
    <row r="1508" spans="1:4">
      <c r="A1508" t="s">
        <v>4309</v>
      </c>
      <c r="B1508" t="s">
        <v>5304</v>
      </c>
      <c r="C1508" s="98">
        <f>VLOOKUP(A1508,References!$C:$D,2,0)</f>
        <v>95.938375350140063</v>
      </c>
      <c r="D1508" s="97"/>
    </row>
    <row r="1509" spans="1:4">
      <c r="A1509" t="s">
        <v>4413</v>
      </c>
      <c r="B1509" t="s">
        <v>4413</v>
      </c>
      <c r="C1509" s="98">
        <f>VLOOKUP(A1509,References!$C:$D,2,0)</f>
        <v>95.938375350140063</v>
      </c>
      <c r="D1509" s="97"/>
    </row>
    <row r="1510" spans="1:4">
      <c r="A1510" t="s">
        <v>4416</v>
      </c>
      <c r="B1510" t="s">
        <v>4416</v>
      </c>
      <c r="C1510" s="98">
        <f>VLOOKUP(A1510,References!$C:$D,2,0)</f>
        <v>95.938375350140063</v>
      </c>
      <c r="D1510" s="97"/>
    </row>
    <row r="1511" spans="1:4">
      <c r="A1511" t="s">
        <v>4420</v>
      </c>
      <c r="B1511" t="s">
        <v>4420</v>
      </c>
      <c r="C1511" s="98">
        <f>VLOOKUP(A1511,References!$C:$D,2,0)</f>
        <v>95.938375350140063</v>
      </c>
      <c r="D1511" s="97"/>
    </row>
    <row r="1512" spans="1:4">
      <c r="A1512" t="s">
        <v>4424</v>
      </c>
      <c r="B1512" t="s">
        <v>4424</v>
      </c>
      <c r="C1512" s="98">
        <f>VLOOKUP(A1512,References!$C:$D,2,0)</f>
        <v>95.938375350140063</v>
      </c>
      <c r="D1512" s="97"/>
    </row>
    <row r="1513" spans="1:4">
      <c r="A1513" t="s">
        <v>4428</v>
      </c>
      <c r="B1513" t="s">
        <v>4428</v>
      </c>
      <c r="C1513" s="98">
        <f>VLOOKUP(A1513,References!$C:$D,2,0)</f>
        <v>95.938375350140063</v>
      </c>
      <c r="D1513" s="97"/>
    </row>
    <row r="1514" spans="1:4">
      <c r="A1514" t="s">
        <v>4432</v>
      </c>
      <c r="B1514" t="s">
        <v>4432</v>
      </c>
      <c r="C1514" s="98">
        <f>VLOOKUP(A1514,References!$C:$D,2,0)</f>
        <v>95.938375350140063</v>
      </c>
      <c r="D1514" s="97"/>
    </row>
    <row r="1515" spans="1:4">
      <c r="A1515" t="s">
        <v>4436</v>
      </c>
      <c r="B1515" t="s">
        <v>4436</v>
      </c>
      <c r="C1515" s="98">
        <f>VLOOKUP(A1515,References!$C:$D,2,0)</f>
        <v>106.69781931464175</v>
      </c>
      <c r="D1515" s="97"/>
    </row>
    <row r="1516" spans="1:4">
      <c r="A1516" t="s">
        <v>4440</v>
      </c>
      <c r="B1516" t="s">
        <v>4440</v>
      </c>
      <c r="C1516" s="98">
        <f>VLOOKUP(A1516,References!$C:$D,2,0)</f>
        <v>106.69781931464175</v>
      </c>
      <c r="D1516" s="97"/>
    </row>
    <row r="1517" spans="1:4">
      <c r="A1517" t="s">
        <v>4444</v>
      </c>
      <c r="B1517" t="s">
        <v>4444</v>
      </c>
      <c r="C1517" s="98">
        <f>VLOOKUP(A1517,References!$C:$D,2,0)</f>
        <v>106.69781931464175</v>
      </c>
      <c r="D1517" s="97"/>
    </row>
    <row r="1518" spans="1:4">
      <c r="A1518" t="s">
        <v>4448</v>
      </c>
      <c r="B1518" t="s">
        <v>4448</v>
      </c>
      <c r="C1518" s="98">
        <f>VLOOKUP(A1518,References!$C:$D,2,0)</f>
        <v>106.69781931464175</v>
      </c>
      <c r="D1518" s="97"/>
    </row>
    <row r="1519" spans="1:4">
      <c r="A1519" t="s">
        <v>4452</v>
      </c>
      <c r="B1519" t="s">
        <v>4452</v>
      </c>
      <c r="C1519" s="98">
        <f>VLOOKUP(A1519,References!$C:$D,2,0)</f>
        <v>106.69781931464175</v>
      </c>
      <c r="D1519" s="97"/>
    </row>
    <row r="1520" spans="1:4">
      <c r="A1520" t="s">
        <v>4456</v>
      </c>
      <c r="B1520" t="s">
        <v>4456</v>
      </c>
      <c r="C1520" s="98">
        <f>VLOOKUP(A1520,References!$C:$D,2,0)</f>
        <v>106.69781931464175</v>
      </c>
      <c r="D1520" s="97"/>
    </row>
    <row r="1521" spans="1:4">
      <c r="A1521" t="s">
        <v>4460</v>
      </c>
      <c r="B1521" t="s">
        <v>4460</v>
      </c>
      <c r="C1521" s="98">
        <f>VLOOKUP(A1521,References!$C:$D,2,0)</f>
        <v>106.69781931464175</v>
      </c>
      <c r="D1521" s="97"/>
    </row>
    <row r="1522" spans="1:4">
      <c r="A1522" t="s">
        <v>4464</v>
      </c>
      <c r="B1522" t="s">
        <v>4464</v>
      </c>
      <c r="C1522" s="98">
        <f>VLOOKUP(A1522,References!$C:$D,2,0)</f>
        <v>106.69781931464175</v>
      </c>
      <c r="D1522" s="97"/>
    </row>
    <row r="1523" spans="1:4">
      <c r="A1523" t="s">
        <v>4468</v>
      </c>
      <c r="B1523" t="s">
        <v>4468</v>
      </c>
      <c r="C1523" s="98">
        <f>VLOOKUP(A1523,References!$C:$D,2,0)</f>
        <v>106.69781931464175</v>
      </c>
      <c r="D1523" s="97"/>
    </row>
    <row r="1524" spans="1:4">
      <c r="A1524" t="s">
        <v>4472</v>
      </c>
      <c r="B1524" t="s">
        <v>4472</v>
      </c>
      <c r="C1524" s="98">
        <f>VLOOKUP(A1524,References!$C:$D,2,0)</f>
        <v>106.69781931464175</v>
      </c>
      <c r="D1524" s="97"/>
    </row>
    <row r="1525" spans="1:4">
      <c r="A1525" t="s">
        <v>3664</v>
      </c>
      <c r="B1525" t="s">
        <v>5305</v>
      </c>
      <c r="C1525" s="98">
        <f>VLOOKUP(A1525,References!$C:$D,2,0)</f>
        <v>106.69781931464175</v>
      </c>
      <c r="D1525" s="97"/>
    </row>
    <row r="1526" spans="1:4">
      <c r="A1526" t="s">
        <v>4476</v>
      </c>
      <c r="B1526" t="s">
        <v>4476</v>
      </c>
      <c r="C1526" s="98">
        <f>VLOOKUP(A1526,References!$C:$D,2,0)</f>
        <v>106.69781931464175</v>
      </c>
      <c r="D1526" s="97"/>
    </row>
    <row r="1527" spans="1:4">
      <c r="A1527" t="s">
        <v>4480</v>
      </c>
      <c r="B1527" t="s">
        <v>4480</v>
      </c>
      <c r="C1527" s="98">
        <f>VLOOKUP(A1527,References!$C:$D,2,0)</f>
        <v>106.69781931464175</v>
      </c>
      <c r="D1527" s="97"/>
    </row>
    <row r="1528" spans="1:4">
      <c r="A1528" t="s">
        <v>4484</v>
      </c>
      <c r="B1528" t="s">
        <v>4484</v>
      </c>
      <c r="C1528" s="98">
        <f>VLOOKUP(A1528,References!$C:$D,2,0)</f>
        <v>106.69781931464175</v>
      </c>
      <c r="D1528" s="97"/>
    </row>
    <row r="1529" spans="1:4">
      <c r="A1529" t="s">
        <v>2797</v>
      </c>
      <c r="B1529" t="s">
        <v>5306</v>
      </c>
      <c r="C1529" s="98">
        <f>VLOOKUP(A1529,References!$C:$D,2,0)</f>
        <v>97.938375350140063</v>
      </c>
      <c r="D1529" s="97"/>
    </row>
    <row r="1530" spans="1:4">
      <c r="A1530" t="s">
        <v>4488</v>
      </c>
      <c r="B1530" t="s">
        <v>4488</v>
      </c>
      <c r="C1530" s="98">
        <f>VLOOKUP(A1530,References!$C:$D,2,0)</f>
        <v>97.938375350140063</v>
      </c>
      <c r="D1530" s="97"/>
    </row>
    <row r="1531" spans="1:4">
      <c r="A1531" t="s">
        <v>3932</v>
      </c>
      <c r="B1531" t="s">
        <v>5307</v>
      </c>
      <c r="C1531" s="98">
        <f>VLOOKUP(A1531,References!$C:$D,2,0)</f>
        <v>97.938375350140063</v>
      </c>
      <c r="D1531" s="97"/>
    </row>
    <row r="1532" spans="1:4">
      <c r="A1532" t="s">
        <v>4492</v>
      </c>
      <c r="B1532" t="s">
        <v>4492</v>
      </c>
      <c r="C1532" s="98">
        <f>VLOOKUP(A1532,References!$C:$D,2,0)</f>
        <v>97.938375350140063</v>
      </c>
      <c r="D1532" s="97"/>
    </row>
    <row r="1533" spans="1:4">
      <c r="A1533" t="s">
        <v>3366</v>
      </c>
      <c r="B1533" t="s">
        <v>5308</v>
      </c>
      <c r="C1533" s="98">
        <f>VLOOKUP(A1533,References!$C:$D,2,0)</f>
        <v>97.938375350140063</v>
      </c>
      <c r="D1533" s="97"/>
    </row>
    <row r="1534" spans="1:4">
      <c r="A1534" t="s">
        <v>3968</v>
      </c>
      <c r="B1534" t="s">
        <v>5309</v>
      </c>
      <c r="C1534" s="98">
        <f>VLOOKUP(A1534,References!$C:$D,2,0)</f>
        <v>97.938375350140063</v>
      </c>
      <c r="D1534" s="97"/>
    </row>
    <row r="1535" spans="1:4">
      <c r="A1535" t="s">
        <v>4496</v>
      </c>
      <c r="B1535" t="s">
        <v>4496</v>
      </c>
      <c r="C1535" s="98">
        <f>VLOOKUP(A1535,References!$C:$D,2,0)</f>
        <v>97.938375350140063</v>
      </c>
      <c r="D1535" s="97"/>
    </row>
    <row r="1536" spans="1:4">
      <c r="A1536" t="s">
        <v>4500</v>
      </c>
      <c r="B1536" t="s">
        <v>4500</v>
      </c>
      <c r="C1536" s="98">
        <f>VLOOKUP(A1536,References!$C:$D,2,0)</f>
        <v>97.938375350140063</v>
      </c>
      <c r="D1536" s="97"/>
    </row>
    <row r="1537" spans="1:4">
      <c r="A1537" t="s">
        <v>4504</v>
      </c>
      <c r="B1537" t="s">
        <v>4504</v>
      </c>
      <c r="C1537" s="98">
        <f>VLOOKUP(A1537,References!$C:$D,2,0)</f>
        <v>97.938375350140063</v>
      </c>
      <c r="D1537" s="97"/>
    </row>
    <row r="1538" spans="1:4">
      <c r="A1538" t="s">
        <v>4508</v>
      </c>
      <c r="B1538" t="s">
        <v>4508</v>
      </c>
      <c r="C1538" s="98">
        <f>VLOOKUP(A1538,References!$C:$D,2,0)</f>
        <v>97.938375350140063</v>
      </c>
      <c r="D1538" s="97"/>
    </row>
    <row r="1539" spans="1:4">
      <c r="A1539" t="s">
        <v>4512</v>
      </c>
      <c r="B1539" t="s">
        <v>4512</v>
      </c>
      <c r="C1539" s="98">
        <f>VLOOKUP(A1539,References!$C:$D,2,0)</f>
        <v>97.938375350140063</v>
      </c>
      <c r="D1539" s="97"/>
    </row>
    <row r="1540" spans="1:4">
      <c r="A1540" t="s">
        <v>4516</v>
      </c>
      <c r="B1540" t="s">
        <v>4516</v>
      </c>
      <c r="C1540" s="98">
        <f>VLOOKUP(A1540,References!$C:$D,2,0)</f>
        <v>97.938375350140063</v>
      </c>
      <c r="D1540" s="97"/>
    </row>
    <row r="1541" spans="1:4">
      <c r="A1541" t="s">
        <v>3013</v>
      </c>
      <c r="B1541" t="s">
        <v>5310</v>
      </c>
      <c r="C1541" s="98">
        <f>VLOOKUP(A1541,References!$C:$D,2,0)</f>
        <v>97.938375350140063</v>
      </c>
      <c r="D1541" s="97"/>
    </row>
    <row r="1542" spans="1:4">
      <c r="A1542" t="s">
        <v>4520</v>
      </c>
      <c r="B1542" t="s">
        <v>4520</v>
      </c>
      <c r="C1542" s="98">
        <f>VLOOKUP(A1542,References!$C:$D,2,0)</f>
        <v>97.938375350140063</v>
      </c>
      <c r="D1542" s="97"/>
    </row>
    <row r="1543" spans="1:4">
      <c r="A1543" t="s">
        <v>4524</v>
      </c>
      <c r="B1543" t="s">
        <v>4524</v>
      </c>
      <c r="C1543" s="98">
        <f>VLOOKUP(A1543,References!$C:$D,2,0)</f>
        <v>97.938375350140063</v>
      </c>
      <c r="D1543" s="97"/>
    </row>
    <row r="1544" spans="1:4">
      <c r="A1544" t="s">
        <v>3064</v>
      </c>
      <c r="B1544" t="s">
        <v>5311</v>
      </c>
      <c r="C1544" s="98">
        <f>VLOOKUP(A1544,References!$C:$D,2,0)</f>
        <v>97.938375350140063</v>
      </c>
      <c r="D1544" s="97"/>
    </row>
    <row r="1545" spans="1:4">
      <c r="A1545" t="s">
        <v>4528</v>
      </c>
      <c r="B1545" t="s">
        <v>4528</v>
      </c>
      <c r="C1545" s="98">
        <f>VLOOKUP(A1545,References!$C:$D,2,0)</f>
        <v>97.938375350140063</v>
      </c>
      <c r="D1545" s="97"/>
    </row>
    <row r="1546" spans="1:4">
      <c r="A1546" t="s">
        <v>4532</v>
      </c>
      <c r="B1546" t="s">
        <v>4532</v>
      </c>
      <c r="C1546" s="98">
        <f>VLOOKUP(A1546,References!$C:$D,2,0)</f>
        <v>97.938375350140063</v>
      </c>
      <c r="D1546" s="97"/>
    </row>
    <row r="1547" spans="1:4">
      <c r="A1547" t="s">
        <v>4536</v>
      </c>
      <c r="B1547" t="s">
        <v>4536</v>
      </c>
      <c r="C1547" s="98">
        <f>VLOOKUP(A1547,References!$C:$D,2,0)</f>
        <v>97.938375350140063</v>
      </c>
      <c r="D1547" s="97"/>
    </row>
    <row r="1548" spans="1:4">
      <c r="A1548" t="s">
        <v>4540</v>
      </c>
      <c r="B1548" t="s">
        <v>4540</v>
      </c>
      <c r="C1548" s="98">
        <f>VLOOKUP(A1548,References!$C:$D,2,0)</f>
        <v>97.938375350140063</v>
      </c>
      <c r="D1548" s="97"/>
    </row>
    <row r="1549" spans="1:4">
      <c r="A1549" t="s">
        <v>4544</v>
      </c>
      <c r="B1549" t="s">
        <v>4544</v>
      </c>
      <c r="C1549" s="98">
        <f>VLOOKUP(A1549,References!$C:$D,2,0)</f>
        <v>97.938375350140063</v>
      </c>
      <c r="D1549" s="97"/>
    </row>
    <row r="1550" spans="1:4">
      <c r="A1550" t="s">
        <v>4548</v>
      </c>
      <c r="B1550" t="s">
        <v>4548</v>
      </c>
      <c r="C1550" s="98">
        <f>VLOOKUP(A1550,References!$C:$D,2,0)</f>
        <v>129.24528301886792</v>
      </c>
      <c r="D1550" s="97"/>
    </row>
    <row r="1551" spans="1:4">
      <c r="A1551" t="s">
        <v>3788</v>
      </c>
      <c r="B1551" t="s">
        <v>5312</v>
      </c>
      <c r="C1551" s="98">
        <f>VLOOKUP(A1551,References!$C:$D,2,0)</f>
        <v>129.24528301886792</v>
      </c>
      <c r="D1551" s="97"/>
    </row>
    <row r="1552" spans="1:4">
      <c r="A1552" t="s">
        <v>4551</v>
      </c>
      <c r="B1552" t="s">
        <v>4551</v>
      </c>
      <c r="C1552" s="98">
        <f>VLOOKUP(A1552,References!$C:$D,2,0)</f>
        <v>129.24528301886792</v>
      </c>
      <c r="D1552" s="97"/>
    </row>
    <row r="1553" spans="1:4">
      <c r="A1553" t="s">
        <v>4555</v>
      </c>
      <c r="B1553" t="s">
        <v>4555</v>
      </c>
      <c r="C1553" s="98">
        <f>VLOOKUP(A1553,References!$C:$D,2,0)</f>
        <v>126.85185185185185</v>
      </c>
      <c r="D1553" s="97"/>
    </row>
    <row r="1554" spans="1:4">
      <c r="A1554" t="s">
        <v>4559</v>
      </c>
      <c r="B1554" t="s">
        <v>4559</v>
      </c>
      <c r="C1554" s="98">
        <f>VLOOKUP(A1554,References!$C:$D,2,0)</f>
        <v>126.85185185185185</v>
      </c>
      <c r="D1554" s="97"/>
    </row>
    <row r="1555" spans="1:4">
      <c r="A1555" t="s">
        <v>4563</v>
      </c>
      <c r="B1555" t="s">
        <v>4563</v>
      </c>
      <c r="C1555" s="98">
        <f>VLOOKUP(A1555,References!$C:$D,2,0)</f>
        <v>126.85185185185185</v>
      </c>
      <c r="D1555" s="97"/>
    </row>
    <row r="1556" spans="1:4">
      <c r="A1556" t="s">
        <v>4566</v>
      </c>
      <c r="B1556" t="s">
        <v>4566</v>
      </c>
      <c r="C1556" s="98">
        <f>VLOOKUP(A1556,References!$C:$D,2,0)</f>
        <v>195.71428571428572</v>
      </c>
      <c r="D1556" s="97"/>
    </row>
    <row r="1557" spans="1:4">
      <c r="A1557" t="s">
        <v>4568</v>
      </c>
      <c r="B1557" t="s">
        <v>4568</v>
      </c>
      <c r="C1557" s="98">
        <f>VLOOKUP(A1557,References!$C:$D,2,0)</f>
        <v>195.71428571428572</v>
      </c>
      <c r="D1557" s="97"/>
    </row>
    <row r="1558" spans="1:4">
      <c r="A1558" t="s">
        <v>4570</v>
      </c>
      <c r="B1558" t="s">
        <v>4570</v>
      </c>
      <c r="C1558" s="98">
        <f>VLOOKUP(A1558,References!$C:$D,2,0)</f>
        <v>195.71428571428572</v>
      </c>
      <c r="D1558" s="97"/>
    </row>
    <row r="1559" spans="1:4">
      <c r="A1559" t="s">
        <v>4572</v>
      </c>
      <c r="B1559" t="s">
        <v>4572</v>
      </c>
      <c r="C1559" s="98">
        <f>VLOOKUP(A1559,References!$C:$D,2,0)</f>
        <v>195.71428571428572</v>
      </c>
      <c r="D1559" s="97"/>
    </row>
    <row r="1560" spans="1:4">
      <c r="A1560" t="s">
        <v>4575</v>
      </c>
      <c r="B1560" t="s">
        <v>4575</v>
      </c>
      <c r="C1560" s="98">
        <f>VLOOKUP(A1560,References!$C:$D,2,0)</f>
        <v>114.16666666666667</v>
      </c>
      <c r="D1560" s="97"/>
    </row>
    <row r="1561" spans="1:4">
      <c r="A1561" t="s">
        <v>4579</v>
      </c>
      <c r="B1561" t="s">
        <v>4581</v>
      </c>
      <c r="C1561" s="98">
        <f>VLOOKUP(A1561,References!$C:$D,2,0)</f>
        <v>114.16666666666667</v>
      </c>
      <c r="D1561" s="97"/>
    </row>
    <row r="1562" spans="1:4">
      <c r="A1562" t="s">
        <v>4584</v>
      </c>
      <c r="B1562" t="s">
        <v>4584</v>
      </c>
      <c r="C1562" s="98">
        <f>VLOOKUP(A1562,References!$C:$D,2,0)</f>
        <v>97.938375350140063</v>
      </c>
      <c r="D1562" s="97"/>
    </row>
    <row r="1563" spans="1:4">
      <c r="A1563" t="s">
        <v>4588</v>
      </c>
      <c r="B1563" t="s">
        <v>4588</v>
      </c>
      <c r="C1563" s="98">
        <f>VLOOKUP(A1563,References!$C:$D,2,0)</f>
        <v>97.938375350140063</v>
      </c>
      <c r="D1563" s="97"/>
    </row>
    <row r="1564" spans="1:4">
      <c r="A1564" t="s">
        <v>4592</v>
      </c>
      <c r="B1564" t="s">
        <v>4592</v>
      </c>
      <c r="C1564" s="98">
        <f>VLOOKUP(A1564,References!$C:$D,2,0)</f>
        <v>97.938375350140063</v>
      </c>
      <c r="D1564" s="97"/>
    </row>
    <row r="1565" spans="1:4">
      <c r="A1565" t="s">
        <v>4596</v>
      </c>
      <c r="B1565" t="s">
        <v>4596</v>
      </c>
      <c r="C1565" s="98">
        <f>VLOOKUP(A1565,References!$C:$D,2,0)</f>
        <v>97.938375350140063</v>
      </c>
      <c r="D1565" s="97"/>
    </row>
    <row r="1566" spans="1:4">
      <c r="A1566" t="s">
        <v>4600</v>
      </c>
      <c r="B1566" t="s">
        <v>4600</v>
      </c>
      <c r="C1566" s="98">
        <f>VLOOKUP(A1566,References!$C:$D,2,0)</f>
        <v>97.938375350140063</v>
      </c>
      <c r="D1566" s="97"/>
    </row>
    <row r="1567" spans="1:4">
      <c r="A1567" t="s">
        <v>4603</v>
      </c>
      <c r="B1567" t="s">
        <v>4603</v>
      </c>
      <c r="C1567" s="98">
        <f>VLOOKUP(A1567,References!$C:$D,2,0)</f>
        <v>97.938375350140063</v>
      </c>
      <c r="D1567" s="97"/>
    </row>
    <row r="1568" spans="1:4">
      <c r="A1568" t="s">
        <v>4607</v>
      </c>
      <c r="B1568" t="s">
        <v>4607</v>
      </c>
      <c r="C1568" s="98">
        <f>VLOOKUP(A1568,References!$C:$D,2,0)</f>
        <v>97.938375350140063</v>
      </c>
      <c r="D1568" s="97"/>
    </row>
    <row r="1569" spans="1:4">
      <c r="A1569" t="s">
        <v>4611</v>
      </c>
      <c r="B1569" t="s">
        <v>4611</v>
      </c>
      <c r="C1569" s="98">
        <f>VLOOKUP(A1569,References!$C:$D,2,0)</f>
        <v>97.938375350140063</v>
      </c>
      <c r="D1569" s="97"/>
    </row>
    <row r="1570" spans="1:4">
      <c r="A1570" t="s">
        <v>4615</v>
      </c>
      <c r="B1570" t="s">
        <v>4615</v>
      </c>
      <c r="C1570" s="98">
        <f>VLOOKUP(A1570,References!$C:$D,2,0)</f>
        <v>131.73076923076923</v>
      </c>
      <c r="D1570" s="97"/>
    </row>
    <row r="1571" spans="1:4">
      <c r="A1571" t="s">
        <v>4619</v>
      </c>
      <c r="B1571" t="s">
        <v>4619</v>
      </c>
      <c r="C1571" s="98">
        <f>VLOOKUP(A1571,References!$C:$D,2,0)</f>
        <v>97.938375350140063</v>
      </c>
      <c r="D1571" s="97"/>
    </row>
    <row r="1572" spans="1:4">
      <c r="A1572" t="s">
        <v>2615</v>
      </c>
      <c r="B1572" t="s">
        <v>5313</v>
      </c>
      <c r="C1572" s="98">
        <f>VLOOKUP(A1572,References!$C:$D,2,0)</f>
        <v>188.40816326530611</v>
      </c>
      <c r="D1572" s="97"/>
    </row>
    <row r="1573" spans="1:4">
      <c r="A1573" t="s">
        <v>3026</v>
      </c>
      <c r="B1573" t="s">
        <v>5314</v>
      </c>
      <c r="C1573" s="98">
        <f>VLOOKUP(A1573,References!$C:$D,2,0)</f>
        <v>188.40816326530611</v>
      </c>
      <c r="D1573" s="97"/>
    </row>
    <row r="1574" spans="1:4">
      <c r="A1574" t="s">
        <v>3473</v>
      </c>
      <c r="B1574" t="s">
        <v>5315</v>
      </c>
      <c r="C1574" s="98">
        <f>VLOOKUP(A1574,References!$C:$D,2,0)</f>
        <v>188.40816326530611</v>
      </c>
      <c r="D1574" s="97"/>
    </row>
    <row r="1575" spans="1:4">
      <c r="A1575" t="s">
        <v>4053</v>
      </c>
      <c r="B1575" t="s">
        <v>5316</v>
      </c>
      <c r="C1575" s="98">
        <f>VLOOKUP(A1575,References!$C:$D,2,0)</f>
        <v>188.40816326530611</v>
      </c>
      <c r="D1575" s="97"/>
    </row>
    <row r="1576" spans="1:4">
      <c r="A1576" t="s">
        <v>2461</v>
      </c>
      <c r="B1576" t="s">
        <v>5317</v>
      </c>
      <c r="C1576" s="98">
        <f>VLOOKUP(A1576,References!$C:$D,2,0)</f>
        <v>188.40816326530611</v>
      </c>
      <c r="D1576" s="97"/>
    </row>
    <row r="1577" spans="1:4">
      <c r="A1577" t="s">
        <v>3911</v>
      </c>
      <c r="B1577" t="s">
        <v>5318</v>
      </c>
      <c r="C1577" s="98">
        <f>VLOOKUP(A1577,References!$C:$D,2,0)</f>
        <v>188.40816326530611</v>
      </c>
      <c r="D1577" s="97"/>
    </row>
    <row r="1578" spans="1:4">
      <c r="A1578" t="s">
        <v>3756</v>
      </c>
      <c r="B1578" t="s">
        <v>5319</v>
      </c>
      <c r="C1578" s="98">
        <f>VLOOKUP(A1578,References!$C:$D,2,0)</f>
        <v>188.40816326530611</v>
      </c>
      <c r="D1578" s="97"/>
    </row>
    <row r="1579" spans="1:4">
      <c r="A1579" t="s">
        <v>2821</v>
      </c>
      <c r="B1579" t="s">
        <v>5320</v>
      </c>
      <c r="C1579" s="98">
        <f>VLOOKUP(A1579,References!$C:$D,2,0)</f>
        <v>188.40816326530611</v>
      </c>
      <c r="D1579" s="97"/>
    </row>
    <row r="1580" spans="1:4">
      <c r="A1580" t="s">
        <v>4623</v>
      </c>
      <c r="B1580" t="s">
        <v>4623</v>
      </c>
      <c r="C1580" s="98">
        <f>VLOOKUP(A1580,References!$C:$D,2,0)</f>
        <v>188.40816326530611</v>
      </c>
      <c r="D1580" s="97"/>
    </row>
    <row r="1581" spans="1:4">
      <c r="A1581" t="s">
        <v>2831</v>
      </c>
      <c r="B1581" t="s">
        <v>5321</v>
      </c>
      <c r="C1581" s="98">
        <f>VLOOKUP(A1581,References!$C:$D,2,0)</f>
        <v>188.40816326530611</v>
      </c>
      <c r="D1581" s="97"/>
    </row>
    <row r="1582" spans="1:4">
      <c r="A1582" t="s">
        <v>3130</v>
      </c>
      <c r="B1582" t="s">
        <v>5322</v>
      </c>
      <c r="C1582" s="98">
        <f>VLOOKUP(A1582,References!$C:$D,2,0)</f>
        <v>188.40816326530611</v>
      </c>
      <c r="D1582" s="97"/>
    </row>
    <row r="1583" spans="1:4">
      <c r="A1583" t="s">
        <v>2622</v>
      </c>
      <c r="B1583" t="s">
        <v>5323</v>
      </c>
      <c r="C1583" s="98">
        <f>VLOOKUP(A1583,References!$C:$D,2,0)</f>
        <v>188.40816326530611</v>
      </c>
      <c r="D1583" s="97"/>
    </row>
    <row r="1584" spans="1:4">
      <c r="A1584" t="s">
        <v>4100</v>
      </c>
      <c r="B1584" t="s">
        <v>5324</v>
      </c>
      <c r="C1584" s="98">
        <f>VLOOKUP(A1584,References!$C:$D,2,0)</f>
        <v>188.40816326530611</v>
      </c>
      <c r="D1584" s="97"/>
    </row>
    <row r="1585" spans="1:4">
      <c r="A1585" t="s">
        <v>2720</v>
      </c>
      <c r="B1585" t="s">
        <v>5325</v>
      </c>
      <c r="C1585" s="98">
        <f>VLOOKUP(A1585,References!$C:$D,2,0)</f>
        <v>188.40816326530611</v>
      </c>
      <c r="D1585" s="97"/>
    </row>
    <row r="1586" spans="1:4">
      <c r="A1586" t="s">
        <v>4256</v>
      </c>
      <c r="B1586" t="s">
        <v>5326</v>
      </c>
      <c r="C1586" s="98">
        <f>VLOOKUP(A1586,References!$C:$D,2,0)</f>
        <v>188.40816326530611</v>
      </c>
      <c r="D1586" s="97"/>
    </row>
    <row r="1587" spans="1:4">
      <c r="A1587" t="s">
        <v>4331</v>
      </c>
      <c r="B1587" t="s">
        <v>5327</v>
      </c>
      <c r="C1587" s="98">
        <f>VLOOKUP(A1587,References!$C:$D,2,0)</f>
        <v>188.40816326530611</v>
      </c>
      <c r="D1587" s="97"/>
    </row>
    <row r="1588" spans="1:4">
      <c r="A1588" t="s">
        <v>3585</v>
      </c>
      <c r="B1588" t="s">
        <v>5328</v>
      </c>
      <c r="C1588" s="98">
        <f>VLOOKUP(A1588,References!$C:$D,2,0)</f>
        <v>188.40816326530611</v>
      </c>
      <c r="D1588" s="97"/>
    </row>
    <row r="1589" spans="1:4">
      <c r="A1589" t="s">
        <v>4627</v>
      </c>
      <c r="B1589" t="s">
        <v>4627</v>
      </c>
      <c r="C1589" s="98">
        <f>VLOOKUP(A1589,References!$C:$D,2,0)</f>
        <v>188.40816326530611</v>
      </c>
      <c r="D1589" s="97"/>
    </row>
    <row r="1590" spans="1:4">
      <c r="A1590" t="s">
        <v>3922</v>
      </c>
      <c r="B1590" t="s">
        <v>5329</v>
      </c>
      <c r="C1590" s="98">
        <f>VLOOKUP(A1590,References!$C:$D,2,0)</f>
        <v>188.40816326530611</v>
      </c>
      <c r="D1590" s="97"/>
    </row>
    <row r="1591" spans="1:4">
      <c r="A1591" t="s">
        <v>4163</v>
      </c>
      <c r="B1591" t="s">
        <v>5330</v>
      </c>
      <c r="C1591" s="98">
        <f>VLOOKUP(A1591,References!$C:$D,2,0)</f>
        <v>188.40816326530611</v>
      </c>
      <c r="D1591" s="97"/>
    </row>
    <row r="1592" spans="1:4">
      <c r="A1592" t="s">
        <v>4145</v>
      </c>
      <c r="B1592" t="s">
        <v>5331</v>
      </c>
      <c r="C1592" s="98">
        <f>VLOOKUP(A1592,References!$C:$D,2,0)</f>
        <v>188.40816326530611</v>
      </c>
      <c r="D1592" s="97"/>
    </row>
    <row r="1593" spans="1:4">
      <c r="A1593" t="s">
        <v>4631</v>
      </c>
      <c r="B1593" t="s">
        <v>4631</v>
      </c>
      <c r="C1593" s="98">
        <f>VLOOKUP(A1593,References!$C:$D,2,0)</f>
        <v>188.40816326530611</v>
      </c>
      <c r="D1593" s="97"/>
    </row>
    <row r="1594" spans="1:4">
      <c r="A1594" t="s">
        <v>4635</v>
      </c>
      <c r="B1594" t="s">
        <v>4635</v>
      </c>
      <c r="C1594" s="98">
        <f>VLOOKUP(A1594,References!$C:$D,2,0)</f>
        <v>188.40816326530611</v>
      </c>
      <c r="D1594" s="97"/>
    </row>
    <row r="1595" spans="1:4">
      <c r="A1595" t="s">
        <v>4639</v>
      </c>
      <c r="B1595" t="s">
        <v>4639</v>
      </c>
      <c r="C1595" s="98">
        <f>VLOOKUP(A1595,References!$C:$D,2,0)</f>
        <v>188.40816326530611</v>
      </c>
      <c r="D1595" s="97"/>
    </row>
    <row r="1596" spans="1:4">
      <c r="A1596" t="s">
        <v>4643</v>
      </c>
      <c r="B1596" t="s">
        <v>4643</v>
      </c>
      <c r="C1596" s="98">
        <f>VLOOKUP(A1596,References!$C:$D,2,0)</f>
        <v>188.40816326530611</v>
      </c>
      <c r="D1596" s="97"/>
    </row>
    <row r="1597" spans="1:4">
      <c r="A1597" t="s">
        <v>4647</v>
      </c>
      <c r="B1597" t="s">
        <v>4647</v>
      </c>
      <c r="C1597" s="98">
        <f>VLOOKUP(A1597,References!$C:$D,2,0)</f>
        <v>190.74380165289256</v>
      </c>
    </row>
    <row r="1598" spans="1:4">
      <c r="A1598" t="s">
        <v>4651</v>
      </c>
      <c r="B1598" t="s">
        <v>4651</v>
      </c>
      <c r="C1598" s="98">
        <f>VLOOKUP(A1598,References!$C:$D,2,0)</f>
        <v>190.74380165289256</v>
      </c>
    </row>
    <row r="1599" spans="1:4">
      <c r="A1599" t="s">
        <v>4654</v>
      </c>
      <c r="B1599" t="s">
        <v>4654</v>
      </c>
      <c r="C1599" s="98">
        <f>VLOOKUP(A1599,References!$C:$D,2,0)</f>
        <v>190.74380165289256</v>
      </c>
    </row>
    <row r="1600" spans="1:4">
      <c r="A1600" t="s">
        <v>4657</v>
      </c>
      <c r="B1600" t="s">
        <v>4657</v>
      </c>
      <c r="C1600" s="98">
        <f>VLOOKUP(A1600,References!$C:$D,2,0)</f>
        <v>190.74380165289256</v>
      </c>
    </row>
    <row r="1601" spans="1:3">
      <c r="A1601" t="s">
        <v>4244</v>
      </c>
      <c r="B1601" t="s">
        <v>5332</v>
      </c>
      <c r="C1601" s="98">
        <f>VLOOKUP(A1601,References!$C:$D,2,0)</f>
        <v>190.74380165289256</v>
      </c>
    </row>
    <row r="1602" spans="1:3">
      <c r="A1602" t="s">
        <v>4661</v>
      </c>
      <c r="B1602" t="s">
        <v>4661</v>
      </c>
      <c r="C1602" s="98">
        <f>VLOOKUP(A1602,References!$C:$D,2,0)</f>
        <v>190.74380165289256</v>
      </c>
    </row>
    <row r="1603" spans="1:3">
      <c r="A1603" t="s">
        <v>4665</v>
      </c>
      <c r="B1603" t="s">
        <v>4665</v>
      </c>
      <c r="C1603" s="98">
        <f>VLOOKUP(A1603,References!$C:$D,2,0)</f>
        <v>190.74380165289256</v>
      </c>
    </row>
    <row r="1604" spans="1:3">
      <c r="A1604" t="s">
        <v>4669</v>
      </c>
      <c r="B1604" t="s">
        <v>4669</v>
      </c>
      <c r="C1604" s="98">
        <f>VLOOKUP(A1604,References!$C:$D,2,0)</f>
        <v>190.74380165289256</v>
      </c>
    </row>
    <row r="1605" spans="1:3">
      <c r="A1605" t="s">
        <v>4673</v>
      </c>
      <c r="B1605" t="s">
        <v>4673</v>
      </c>
      <c r="C1605" s="98">
        <f>VLOOKUP(A1605,References!$C:$D,2,0)</f>
        <v>190.74380165289256</v>
      </c>
    </row>
    <row r="1606" spans="1:3">
      <c r="A1606" t="s">
        <v>4677</v>
      </c>
      <c r="B1606" t="s">
        <v>4677</v>
      </c>
      <c r="C1606" s="98">
        <f>VLOOKUP(A1606,References!$C:$D,2,0)</f>
        <v>190.74380165289256</v>
      </c>
    </row>
    <row r="1607" spans="1:3">
      <c r="A1607" t="s">
        <v>4681</v>
      </c>
      <c r="B1607" t="s">
        <v>4681</v>
      </c>
      <c r="C1607" s="98">
        <f>VLOOKUP(A1607,References!$C:$D,2,0)</f>
        <v>190.74380165289256</v>
      </c>
    </row>
    <row r="1608" spans="1:3">
      <c r="A1608" t="s">
        <v>4685</v>
      </c>
      <c r="B1608" t="s">
        <v>4685</v>
      </c>
      <c r="C1608" s="98">
        <f>VLOOKUP(A1608,References!$C:$D,2,0)</f>
        <v>190.74380165289256</v>
      </c>
    </row>
    <row r="1609" spans="1:3">
      <c r="A1609" t="s">
        <v>4689</v>
      </c>
      <c r="B1609" t="s">
        <v>4689</v>
      </c>
      <c r="C1609" s="98">
        <f>VLOOKUP(A1609,References!$C:$D,2,0)</f>
        <v>192.33333333333334</v>
      </c>
    </row>
    <row r="1610" spans="1:3">
      <c r="A1610" t="s">
        <v>4693</v>
      </c>
      <c r="B1610" t="s">
        <v>4693</v>
      </c>
      <c r="C1610" s="98">
        <f>VLOOKUP(A1610,References!$C:$D,2,0)</f>
        <v>192.33333333333334</v>
      </c>
    </row>
    <row r="1611" spans="1:3">
      <c r="A1611" t="s">
        <v>4697</v>
      </c>
      <c r="B1611" t="s">
        <v>4697</v>
      </c>
      <c r="C1611" s="98">
        <f>VLOOKUP(A1611,References!$C:$D,2,0)</f>
        <v>192.33333333333334</v>
      </c>
    </row>
    <row r="1612" spans="1:3">
      <c r="A1612" t="s">
        <v>4701</v>
      </c>
      <c r="B1612" t="s">
        <v>4701</v>
      </c>
      <c r="C1612" s="98">
        <f>VLOOKUP(A1612,References!$C:$D,2,0)</f>
        <v>192.33333333333334</v>
      </c>
    </row>
    <row r="1613" spans="1:3">
      <c r="A1613" t="s">
        <v>4705</v>
      </c>
      <c r="B1613" t="s">
        <v>4705</v>
      </c>
      <c r="C1613" s="98">
        <f>VLOOKUP(A1613,References!$C:$D,2,0)</f>
        <v>192.33333333333334</v>
      </c>
    </row>
    <row r="1614" spans="1:3">
      <c r="A1614" t="s">
        <v>4709</v>
      </c>
      <c r="B1614" t="s">
        <v>4709</v>
      </c>
      <c r="C1614" s="98">
        <f>VLOOKUP(A1614,References!$C:$D,2,0)</f>
        <v>192.33333333333334</v>
      </c>
    </row>
    <row r="1615" spans="1:3">
      <c r="A1615" t="s">
        <v>4713</v>
      </c>
      <c r="B1615" t="s">
        <v>4713</v>
      </c>
      <c r="C1615" s="98">
        <f>VLOOKUP(A1615,References!$C:$D,2,0)</f>
        <v>192.33333333333334</v>
      </c>
    </row>
    <row r="1616" spans="1:3">
      <c r="A1616" t="s">
        <v>4717</v>
      </c>
      <c r="B1616" t="s">
        <v>4717</v>
      </c>
      <c r="C1616" s="98">
        <f>VLOOKUP(A1616,References!$C:$D,2,0)</f>
        <v>192.33333333333334</v>
      </c>
    </row>
    <row r="1617" spans="1:3">
      <c r="A1617" t="s">
        <v>4721</v>
      </c>
      <c r="B1617" t="s">
        <v>4721</v>
      </c>
      <c r="C1617" s="98">
        <f>VLOOKUP(A1617,References!$C:$D,2,0)</f>
        <v>192.33333333333334</v>
      </c>
    </row>
    <row r="1618" spans="1:3">
      <c r="A1618" t="s">
        <v>3204</v>
      </c>
      <c r="B1618" t="s">
        <v>5333</v>
      </c>
      <c r="C1618" s="98">
        <f>VLOOKUP(A1618,References!$C:$D,2,0)</f>
        <v>192.33333333333334</v>
      </c>
    </row>
    <row r="1619" spans="1:3">
      <c r="A1619" t="s">
        <v>4725</v>
      </c>
      <c r="B1619" t="s">
        <v>4725</v>
      </c>
      <c r="C1619" s="98">
        <f>VLOOKUP(A1619,References!$C:$D,2,0)</f>
        <v>188.40816326530611</v>
      </c>
    </row>
    <row r="1620" spans="1:3">
      <c r="A1620" t="s">
        <v>4729</v>
      </c>
      <c r="B1620" t="s">
        <v>4729</v>
      </c>
      <c r="C1620" s="98">
        <f>VLOOKUP(A1620,References!$C:$D,2,0)</f>
        <v>188.40816326530611</v>
      </c>
    </row>
    <row r="1621" spans="1:3">
      <c r="A1621" t="s">
        <v>4733</v>
      </c>
      <c r="B1621" t="s">
        <v>4733</v>
      </c>
      <c r="C1621" s="98">
        <f>VLOOKUP(A1621,References!$C:$D,2,0)</f>
        <v>188.40816326530611</v>
      </c>
    </row>
    <row r="1622" spans="1:3">
      <c r="A1622" t="s">
        <v>4737</v>
      </c>
      <c r="B1622" t="s">
        <v>4737</v>
      </c>
      <c r="C1622" s="98">
        <f>VLOOKUP(A1622,References!$C:$D,2,0)</f>
        <v>188.40816326530611</v>
      </c>
    </row>
    <row r="1623" spans="1:3">
      <c r="A1623" t="s">
        <v>4741</v>
      </c>
      <c r="B1623" t="s">
        <v>4741</v>
      </c>
      <c r="C1623" s="98">
        <f>VLOOKUP(A1623,References!$C:$D,2,0)</f>
        <v>188.40816326530611</v>
      </c>
    </row>
    <row r="1624" spans="1:3">
      <c r="A1624" t="s">
        <v>3807</v>
      </c>
      <c r="B1624" t="s">
        <v>5334</v>
      </c>
      <c r="C1624" s="98">
        <f>VLOOKUP(A1624,References!$C:$D,2,0)</f>
        <v>188.40816326530611</v>
      </c>
    </row>
    <row r="1625" spans="1:3">
      <c r="A1625" t="s">
        <v>4745</v>
      </c>
      <c r="B1625" t="s">
        <v>4745</v>
      </c>
      <c r="C1625" s="98">
        <f>VLOOKUP(A1625,References!$C:$D,2,0)</f>
        <v>188.40816326530611</v>
      </c>
    </row>
    <row r="1626" spans="1:3">
      <c r="A1626" t="s">
        <v>4178</v>
      </c>
      <c r="B1626" t="s">
        <v>5335</v>
      </c>
      <c r="C1626" s="98">
        <f>VLOOKUP(A1626,References!$C:$D,2,0)</f>
        <v>188.40816326530611</v>
      </c>
    </row>
    <row r="1627" spans="1:3">
      <c r="A1627" t="s">
        <v>4749</v>
      </c>
      <c r="B1627" t="s">
        <v>4749</v>
      </c>
      <c r="C1627" s="98">
        <f>VLOOKUP(A1627,References!$C:$D,2,0)</f>
        <v>188.40816326530611</v>
      </c>
    </row>
    <row r="1628" spans="1:3">
      <c r="A1628" t="s">
        <v>4753</v>
      </c>
      <c r="B1628" t="s">
        <v>4753</v>
      </c>
      <c r="C1628" s="98">
        <f>VLOOKUP(A1628,References!$C:$D,2,0)</f>
        <v>188.40816326530611</v>
      </c>
    </row>
    <row r="1629" spans="1:3">
      <c r="A1629" t="s">
        <v>4757</v>
      </c>
      <c r="B1629" t="s">
        <v>4757</v>
      </c>
      <c r="C1629" s="98">
        <f>VLOOKUP(A1629,References!$C:$D,2,0)</f>
        <v>188.40816326530611</v>
      </c>
    </row>
    <row r="1630" spans="1:3">
      <c r="A1630" t="s">
        <v>4313</v>
      </c>
      <c r="B1630" t="s">
        <v>5336</v>
      </c>
      <c r="C1630" s="98">
        <f>VLOOKUP(A1630,References!$C:$D,2,0)</f>
        <v>188.40816326530611</v>
      </c>
    </row>
    <row r="1631" spans="1:3">
      <c r="A1631" t="s">
        <v>4761</v>
      </c>
      <c r="B1631" t="s">
        <v>4761</v>
      </c>
      <c r="C1631" s="98">
        <f>VLOOKUP(A1631,References!$C:$D,2,0)</f>
        <v>188.40816326530611</v>
      </c>
    </row>
    <row r="1632" spans="1:3">
      <c r="A1632" t="s">
        <v>2586</v>
      </c>
      <c r="B1632" t="s">
        <v>5337</v>
      </c>
      <c r="C1632" s="98">
        <f>VLOOKUP(A1632,References!$C:$D,2,0)</f>
        <v>188.40816326530611</v>
      </c>
    </row>
    <row r="1633" spans="1:3">
      <c r="A1633" t="s">
        <v>4765</v>
      </c>
      <c r="B1633" t="s">
        <v>4765</v>
      </c>
      <c r="C1633" s="98">
        <f>VLOOKUP(A1633,References!$C:$D,2,0)</f>
        <v>188.40816326530611</v>
      </c>
    </row>
    <row r="1634" spans="1:3">
      <c r="A1634" t="s">
        <v>4018</v>
      </c>
      <c r="B1634" t="s">
        <v>5338</v>
      </c>
      <c r="C1634" s="98">
        <f>VLOOKUP(A1634,References!$C:$D,2,0)</f>
        <v>188.40816326530611</v>
      </c>
    </row>
    <row r="1635" spans="1:3">
      <c r="A1635" t="s">
        <v>4769</v>
      </c>
      <c r="B1635" t="s">
        <v>4769</v>
      </c>
      <c r="C1635" s="98">
        <f>VLOOKUP(A1635,References!$C:$D,2,0)</f>
        <v>188.40816326530611</v>
      </c>
    </row>
    <row r="1636" spans="1:3">
      <c r="A1636" t="s">
        <v>4773</v>
      </c>
      <c r="B1636" t="s">
        <v>4773</v>
      </c>
      <c r="C1636" s="98">
        <f>VLOOKUP(A1636,References!$C:$D,2,0)</f>
        <v>188.40816326530611</v>
      </c>
    </row>
    <row r="1637" spans="1:3">
      <c r="A1637" t="s">
        <v>4777</v>
      </c>
      <c r="B1637" t="s">
        <v>4777</v>
      </c>
      <c r="C1637" s="98">
        <f>VLOOKUP(A1637,References!$C:$D,2,0)</f>
        <v>188.40816326530611</v>
      </c>
    </row>
    <row r="1638" spans="1:3">
      <c r="A1638" t="s">
        <v>4781</v>
      </c>
      <c r="B1638" t="s">
        <v>4781</v>
      </c>
      <c r="C1638" s="98">
        <f>VLOOKUP(A1638,References!$C:$D,2,0)</f>
        <v>188.40816326530611</v>
      </c>
    </row>
    <row r="1639" spans="1:3">
      <c r="A1639" t="s">
        <v>4785</v>
      </c>
      <c r="B1639" t="s">
        <v>4785</v>
      </c>
      <c r="C1639" s="98">
        <f>VLOOKUP(A1639,References!$C:$D,2,0)</f>
        <v>188.40816326530611</v>
      </c>
    </row>
    <row r="1640" spans="1:3">
      <c r="A1640" t="s">
        <v>4789</v>
      </c>
      <c r="B1640" t="s">
        <v>4789</v>
      </c>
      <c r="C1640" s="98">
        <f>VLOOKUP(A1640,References!$C:$D,2,0)</f>
        <v>188.40816326530611</v>
      </c>
    </row>
    <row r="1641" spans="1:3">
      <c r="A1641" t="s">
        <v>4793</v>
      </c>
      <c r="B1641" t="s">
        <v>4793</v>
      </c>
      <c r="C1641" s="98">
        <f>VLOOKUP(A1641,References!$C:$D,2,0)</f>
        <v>188.40816326530611</v>
      </c>
    </row>
    <row r="1642" spans="1:3">
      <c r="A1642" t="s">
        <v>4797</v>
      </c>
      <c r="B1642" t="s">
        <v>4797</v>
      </c>
      <c r="C1642" s="98">
        <f>VLOOKUP(A1642,References!$C:$D,2,0)</f>
        <v>188.40816326530611</v>
      </c>
    </row>
    <row r="1643" spans="1:3">
      <c r="A1643" t="s">
        <v>4801</v>
      </c>
      <c r="B1643" t="s">
        <v>4801</v>
      </c>
      <c r="C1643" s="98">
        <f>VLOOKUP(A1643,References!$C:$D,2,0)</f>
        <v>191.53526970954357</v>
      </c>
    </row>
    <row r="1644" spans="1:3">
      <c r="A1644" t="s">
        <v>4805</v>
      </c>
      <c r="B1644" t="s">
        <v>4805</v>
      </c>
      <c r="C1644" s="98">
        <f>VLOOKUP(A1644,References!$C:$D,2,0)</f>
        <v>191.53526970954357</v>
      </c>
    </row>
    <row r="1645" spans="1:3">
      <c r="A1645" t="s">
        <v>4167</v>
      </c>
      <c r="B1645" t="s">
        <v>5339</v>
      </c>
      <c r="C1645" s="98">
        <f>VLOOKUP(A1645,References!$C:$D,2,0)</f>
        <v>191.53526970954357</v>
      </c>
    </row>
    <row r="1646" spans="1:3">
      <c r="A1646" t="s">
        <v>4808</v>
      </c>
      <c r="B1646" t="s">
        <v>4808</v>
      </c>
      <c r="C1646" s="98">
        <f>VLOOKUP(A1646,References!$C:$D,2,0)</f>
        <v>191.53526970954357</v>
      </c>
    </row>
    <row r="1647" spans="1:3">
      <c r="A1647" t="s">
        <v>4199</v>
      </c>
      <c r="B1647" t="s">
        <v>5340</v>
      </c>
      <c r="C1647" s="98">
        <f>VLOOKUP(A1647,References!$C:$D,2,0)</f>
        <v>191.53526970954357</v>
      </c>
    </row>
    <row r="1648" spans="1:3">
      <c r="A1648" t="s">
        <v>4046</v>
      </c>
      <c r="B1648" t="s">
        <v>5341</v>
      </c>
      <c r="C1648" s="98">
        <f>VLOOKUP(A1648,References!$C:$D,2,0)</f>
        <v>191.53526970954357</v>
      </c>
    </row>
    <row r="1649" spans="1:3">
      <c r="A1649" t="s">
        <v>4171</v>
      </c>
      <c r="B1649" t="s">
        <v>5342</v>
      </c>
      <c r="C1649" s="98">
        <f>VLOOKUP(A1649,References!$C:$D,2,0)</f>
        <v>191.53526970954357</v>
      </c>
    </row>
    <row r="1650" spans="1:3">
      <c r="A1650" t="s">
        <v>4811</v>
      </c>
      <c r="B1650" t="s">
        <v>4811</v>
      </c>
      <c r="C1650" s="98">
        <f>VLOOKUP(A1650,References!$C:$D,2,0)</f>
        <v>191.53526970954357</v>
      </c>
    </row>
    <row r="1651" spans="1:3">
      <c r="A1651" t="s">
        <v>4815</v>
      </c>
      <c r="B1651" t="s">
        <v>4815</v>
      </c>
      <c r="C1651" s="98">
        <f>VLOOKUP(A1651,References!$C:$D,2,0)</f>
        <v>191.53526970954357</v>
      </c>
    </row>
    <row r="1652" spans="1:3">
      <c r="A1652" t="s">
        <v>4819</v>
      </c>
      <c r="B1652" t="s">
        <v>4819</v>
      </c>
      <c r="C1652" s="98">
        <f>VLOOKUP(A1652,References!$C:$D,2,0)</f>
        <v>191.53526970954357</v>
      </c>
    </row>
    <row r="1653" spans="1:3">
      <c r="A1653" t="s">
        <v>3459</v>
      </c>
      <c r="B1653" t="s">
        <v>5343</v>
      </c>
      <c r="C1653" s="98">
        <f>VLOOKUP(A1653,References!$C:$D,2,0)</f>
        <v>191.53526970954357</v>
      </c>
    </row>
    <row r="1654" spans="1:3">
      <c r="A1654" t="s">
        <v>4823</v>
      </c>
      <c r="B1654" t="s">
        <v>4823</v>
      </c>
      <c r="C1654" s="98">
        <f>VLOOKUP(A1654,References!$C:$D,2,0)</f>
        <v>191.53526970954357</v>
      </c>
    </row>
    <row r="1655" spans="1:3">
      <c r="A1655" t="s">
        <v>4827</v>
      </c>
      <c r="B1655" t="s">
        <v>4827</v>
      </c>
      <c r="C1655" s="98">
        <f>VLOOKUP(A1655,References!$C:$D,2,0)</f>
        <v>191.53526970954357</v>
      </c>
    </row>
    <row r="1656" spans="1:3">
      <c r="A1656" t="s">
        <v>3859</v>
      </c>
      <c r="B1656" t="s">
        <v>5344</v>
      </c>
      <c r="C1656" s="98">
        <f>VLOOKUP(A1656,References!$C:$D,2,0)</f>
        <v>190.74380165289256</v>
      </c>
    </row>
    <row r="1657" spans="1:3">
      <c r="A1657" t="s">
        <v>4831</v>
      </c>
      <c r="B1657" t="s">
        <v>4831</v>
      </c>
      <c r="C1657" s="98">
        <f>VLOOKUP(A1657,References!$C:$D,2,0)</f>
        <v>190.74380165289256</v>
      </c>
    </row>
    <row r="1658" spans="1:3">
      <c r="A1658" t="s">
        <v>4835</v>
      </c>
      <c r="B1658" t="s">
        <v>4835</v>
      </c>
      <c r="C1658" s="98">
        <f>VLOOKUP(A1658,References!$C:$D,2,0)</f>
        <v>190.74380165289256</v>
      </c>
    </row>
    <row r="1659" spans="1:3">
      <c r="A1659" t="s">
        <v>4839</v>
      </c>
      <c r="B1659" t="s">
        <v>4839</v>
      </c>
      <c r="C1659" s="98">
        <f>VLOOKUP(A1659,References!$C:$D,2,0)</f>
        <v>190.74380165289256</v>
      </c>
    </row>
    <row r="1660" spans="1:3">
      <c r="A1660" t="s">
        <v>4843</v>
      </c>
      <c r="B1660" t="s">
        <v>4843</v>
      </c>
      <c r="C1660" s="98">
        <f>VLOOKUP(A1660,References!$C:$D,2,0)</f>
        <v>190.74380165289256</v>
      </c>
    </row>
    <row r="1661" spans="1:3">
      <c r="A1661" t="s">
        <v>4847</v>
      </c>
      <c r="B1661" t="s">
        <v>4847</v>
      </c>
      <c r="C1661" s="98">
        <f>VLOOKUP(A1661,References!$C:$D,2,0)</f>
        <v>190.74380165289256</v>
      </c>
    </row>
    <row r="1662" spans="1:3">
      <c r="A1662" t="s">
        <v>4851</v>
      </c>
      <c r="B1662" t="s">
        <v>4851</v>
      </c>
      <c r="C1662" s="98">
        <f>VLOOKUP(A1662,References!$C:$D,2,0)</f>
        <v>190.74380165289256</v>
      </c>
    </row>
    <row r="1663" spans="1:3">
      <c r="A1663" t="s">
        <v>4855</v>
      </c>
      <c r="B1663" t="s">
        <v>4855</v>
      </c>
      <c r="C1663" s="98">
        <f>VLOOKUP(A1663,References!$C:$D,2,0)</f>
        <v>190.74380165289256</v>
      </c>
    </row>
    <row r="1664" spans="1:3">
      <c r="A1664" t="s">
        <v>4859</v>
      </c>
      <c r="B1664" t="s">
        <v>4859</v>
      </c>
      <c r="C1664" s="98">
        <f>VLOOKUP(A1664,References!$C:$D,2,0)</f>
        <v>190.74380165289256</v>
      </c>
    </row>
    <row r="1665" spans="1:3">
      <c r="A1665" t="s">
        <v>4863</v>
      </c>
      <c r="B1665" t="s">
        <v>4863</v>
      </c>
      <c r="C1665" s="98">
        <f>VLOOKUP(A1665,References!$C:$D,2,0)</f>
        <v>190.74380165289256</v>
      </c>
    </row>
    <row r="1666" spans="1:3">
      <c r="A1666" t="s">
        <v>4867</v>
      </c>
      <c r="B1666" t="s">
        <v>4867</v>
      </c>
      <c r="C1666" s="98">
        <f>VLOOKUP(A1666,References!$C:$D,2,0)</f>
        <v>190.74380165289256</v>
      </c>
    </row>
    <row r="1667" spans="1:3">
      <c r="A1667" t="s">
        <v>4871</v>
      </c>
      <c r="B1667" t="s">
        <v>4871</v>
      </c>
      <c r="C1667" s="98">
        <f>VLOOKUP(A1667,References!$C:$D,2,0)</f>
        <v>190.74380165289256</v>
      </c>
    </row>
    <row r="1668" spans="1:3">
      <c r="A1668" t="s">
        <v>4875</v>
      </c>
      <c r="B1668" t="s">
        <v>4875</v>
      </c>
      <c r="C1668" s="98">
        <f>VLOOKUP(A1668,References!$C:$D,2,0)</f>
        <v>231.9597989949749</v>
      </c>
    </row>
    <row r="1669" spans="1:3">
      <c r="A1669" t="s">
        <v>4879</v>
      </c>
      <c r="B1669" t="s">
        <v>4879</v>
      </c>
      <c r="C1669" s="98">
        <f>VLOOKUP(A1669,References!$C:$D,2,0)</f>
        <v>231.9597989949749</v>
      </c>
    </row>
    <row r="1670" spans="1:3">
      <c r="A1670" t="s">
        <v>3477</v>
      </c>
      <c r="B1670" t="s">
        <v>5345</v>
      </c>
      <c r="C1670" s="98">
        <f>VLOOKUP(A1670,References!$C:$D,2,0)</f>
        <v>231.9597989949749</v>
      </c>
    </row>
    <row r="1671" spans="1:3">
      <c r="A1671" t="s">
        <v>4233</v>
      </c>
      <c r="B1671" t="s">
        <v>5346</v>
      </c>
      <c r="C1671" s="98">
        <f>VLOOKUP(A1671,References!$C:$D,2,0)</f>
        <v>231.9597989949749</v>
      </c>
    </row>
    <row r="1672" spans="1:3">
      <c r="A1672" t="s">
        <v>4883</v>
      </c>
      <c r="B1672" t="s">
        <v>4883</v>
      </c>
      <c r="C1672" s="98">
        <f>VLOOKUP(A1672,References!$C:$D,2,0)</f>
        <v>231.9597989949749</v>
      </c>
    </row>
    <row r="1673" spans="1:3">
      <c r="A1673" t="s">
        <v>2451</v>
      </c>
      <c r="B1673" t="s">
        <v>5347</v>
      </c>
      <c r="C1673" s="98">
        <f>VLOOKUP(A1673,References!$C:$D,2,0)</f>
        <v>231.9597989949749</v>
      </c>
    </row>
    <row r="1674" spans="1:3">
      <c r="A1674" t="s">
        <v>4887</v>
      </c>
      <c r="B1674" t="s">
        <v>4887</v>
      </c>
      <c r="C1674" s="98">
        <f>VLOOKUP(A1674,References!$C:$D,2,0)</f>
        <v>231.9597989949749</v>
      </c>
    </row>
    <row r="1675" spans="1:3">
      <c r="A1675" t="s">
        <v>4891</v>
      </c>
      <c r="B1675" t="s">
        <v>4891</v>
      </c>
      <c r="C1675" s="98">
        <f>VLOOKUP(A1675,References!$C:$D,2,0)</f>
        <v>231.9597989949749</v>
      </c>
    </row>
    <row r="1676" spans="1:3">
      <c r="A1676" t="s">
        <v>4895</v>
      </c>
      <c r="B1676" t="s">
        <v>4895</v>
      </c>
      <c r="C1676" s="98">
        <f>VLOOKUP(A1676,References!$C:$D,2,0)</f>
        <v>231.9597989949749</v>
      </c>
    </row>
    <row r="1677" spans="1:3">
      <c r="A1677" t="s">
        <v>2421</v>
      </c>
      <c r="B1677" t="s">
        <v>5348</v>
      </c>
      <c r="C1677" s="98">
        <f>VLOOKUP(A1677,References!$C:$D,2,0)</f>
        <v>231.9597989949749</v>
      </c>
    </row>
    <row r="1678" spans="1:3">
      <c r="A1678" t="s">
        <v>4899</v>
      </c>
      <c r="B1678" t="s">
        <v>4899</v>
      </c>
      <c r="C1678" s="98">
        <f>VLOOKUP(A1678,References!$C:$D,2,0)</f>
        <v>231.9597989949749</v>
      </c>
    </row>
    <row r="1679" spans="1:3">
      <c r="A1679" t="s">
        <v>4903</v>
      </c>
      <c r="B1679" t="s">
        <v>4903</v>
      </c>
      <c r="C1679" s="98">
        <f>VLOOKUP(A1679,References!$C:$D,2,0)</f>
        <v>231.9597989949749</v>
      </c>
    </row>
    <row r="1680" spans="1:3">
      <c r="A1680" t="s">
        <v>3463</v>
      </c>
      <c r="B1680" t="s">
        <v>5349</v>
      </c>
      <c r="C1680" s="98">
        <f>VLOOKUP(A1680,References!$C:$D,2,0)</f>
        <v>231.9597989949749</v>
      </c>
    </row>
    <row r="1681" spans="1:3">
      <c r="A1681" t="s">
        <v>2505</v>
      </c>
      <c r="B1681" t="s">
        <v>5350</v>
      </c>
      <c r="C1681" s="98">
        <f>VLOOKUP(A1681,References!$C:$D,2,0)</f>
        <v>231.9597989949749</v>
      </c>
    </row>
    <row r="1682" spans="1:3">
      <c r="A1682" t="s">
        <v>1609</v>
      </c>
      <c r="B1682" t="s">
        <v>5351</v>
      </c>
      <c r="C1682" s="98">
        <f>VLOOKUP(A1682,References!$C:$D,2,0)</f>
        <v>231.9597989949749</v>
      </c>
    </row>
    <row r="1683" spans="1:3">
      <c r="A1683" t="s">
        <v>5352</v>
      </c>
      <c r="B1683" t="s">
        <v>5352</v>
      </c>
      <c r="C1683">
        <f>Prices!$D$98</f>
        <v>100.69499999999999</v>
      </c>
    </row>
    <row r="1684" spans="1:3">
      <c r="A1684" t="s">
        <v>5353</v>
      </c>
      <c r="B1684" t="s">
        <v>5353</v>
      </c>
      <c r="C1684">
        <f>Prices!$D$98</f>
        <v>100.69499999999999</v>
      </c>
    </row>
    <row r="1685" spans="1:3">
      <c r="A1685" t="s">
        <v>5354</v>
      </c>
      <c r="B1685" t="s">
        <v>5354</v>
      </c>
      <c r="C1685">
        <f>Prices!$D$98</f>
        <v>100.69499999999999</v>
      </c>
    </row>
    <row r="1686" spans="1:3">
      <c r="A1686" t="s">
        <v>5355</v>
      </c>
      <c r="B1686" t="s">
        <v>5355</v>
      </c>
      <c r="C1686">
        <f>Prices!$D$99</f>
        <v>102.065</v>
      </c>
    </row>
    <row r="1687" spans="1:3">
      <c r="A1687" t="s">
        <v>5356</v>
      </c>
      <c r="B1687" t="s">
        <v>5356</v>
      </c>
      <c r="C1687">
        <f>Prices!$D$99</f>
        <v>102.065</v>
      </c>
    </row>
    <row r="1688" spans="1:3">
      <c r="A1688" t="s">
        <v>5357</v>
      </c>
      <c r="B1688" t="s">
        <v>5357</v>
      </c>
      <c r="C1688">
        <f>Prices!$D$99</f>
        <v>102.065</v>
      </c>
    </row>
    <row r="1689" spans="1:3">
      <c r="A1689" t="s">
        <v>5358</v>
      </c>
      <c r="B1689" t="s">
        <v>5358</v>
      </c>
      <c r="C1689">
        <f>Prices!$D$99</f>
        <v>102.065</v>
      </c>
    </row>
    <row r="1690" spans="1:3">
      <c r="A1690" t="s">
        <v>5359</v>
      </c>
      <c r="B1690" t="s">
        <v>5359</v>
      </c>
      <c r="C1690">
        <f>Prices!$D$99</f>
        <v>102.065</v>
      </c>
    </row>
    <row r="1691" spans="1:3">
      <c r="A1691" t="s">
        <v>5360</v>
      </c>
      <c r="B1691" t="s">
        <v>5360</v>
      </c>
      <c r="C1691">
        <f>Prices!$D$99</f>
        <v>102.065</v>
      </c>
    </row>
    <row r="1692" spans="1:3">
      <c r="A1692" t="s">
        <v>5361</v>
      </c>
      <c r="B1692" t="s">
        <v>5361</v>
      </c>
      <c r="C1692">
        <f>Prices!$D$99</f>
        <v>102.065</v>
      </c>
    </row>
    <row r="1693" spans="1:3">
      <c r="A1693" t="s">
        <v>5362</v>
      </c>
      <c r="B1693" t="s">
        <v>5362</v>
      </c>
      <c r="C1693">
        <f>Prices!$D$99</f>
        <v>102.065</v>
      </c>
    </row>
    <row r="1694" spans="1:3">
      <c r="A1694" t="s">
        <v>5363</v>
      </c>
      <c r="B1694" t="s">
        <v>5363</v>
      </c>
      <c r="C1694">
        <f>Prices!$D$99</f>
        <v>102.065</v>
      </c>
    </row>
    <row r="1695" spans="1:3">
      <c r="A1695" t="s">
        <v>5364</v>
      </c>
      <c r="B1695" t="s">
        <v>5364</v>
      </c>
      <c r="C1695">
        <f>Prices!$D$99</f>
        <v>102.065</v>
      </c>
    </row>
    <row r="1696" spans="1:3">
      <c r="A1696" t="s">
        <v>5365</v>
      </c>
      <c r="B1696" t="s">
        <v>5365</v>
      </c>
      <c r="C1696">
        <f>Prices!$D$99</f>
        <v>102.065</v>
      </c>
    </row>
    <row r="1697" spans="1:3">
      <c r="A1697" t="s">
        <v>5366</v>
      </c>
      <c r="B1697" t="s">
        <v>5366</v>
      </c>
      <c r="C1697">
        <f>Prices!$D$99</f>
        <v>102.065</v>
      </c>
    </row>
    <row r="1698" spans="1:3">
      <c r="A1698" t="s">
        <v>5367</v>
      </c>
      <c r="B1698" t="s">
        <v>5367</v>
      </c>
      <c r="C1698">
        <f>Prices!$D$97</f>
        <v>99.325000000000003</v>
      </c>
    </row>
    <row r="1699" spans="1:3">
      <c r="A1699" t="s">
        <v>5368</v>
      </c>
      <c r="B1699" t="s">
        <v>5368</v>
      </c>
      <c r="C1699">
        <f>Prices!$D$97</f>
        <v>99.325000000000003</v>
      </c>
    </row>
    <row r="1700" spans="1:3">
      <c r="A1700" t="s">
        <v>5368</v>
      </c>
      <c r="B1700" t="s">
        <v>5369</v>
      </c>
      <c r="C1700">
        <f>Prices!$D$97</f>
        <v>99.325000000000003</v>
      </c>
    </row>
    <row r="1701" spans="1:3">
      <c r="A1701" t="s">
        <v>5370</v>
      </c>
      <c r="B1701" t="s">
        <v>5370</v>
      </c>
      <c r="C1701">
        <f>Prices!$D$97</f>
        <v>99.325000000000003</v>
      </c>
    </row>
    <row r="1702" spans="1:3">
      <c r="A1702" t="s">
        <v>5371</v>
      </c>
      <c r="B1702" t="s">
        <v>5371</v>
      </c>
      <c r="C1702">
        <f>Prices!$D$97</f>
        <v>99.325000000000003</v>
      </c>
    </row>
    <row r="1703" spans="1:3">
      <c r="A1703" t="s">
        <v>5372</v>
      </c>
      <c r="B1703" t="s">
        <v>5372</v>
      </c>
      <c r="C1703">
        <f>Prices!$D$97</f>
        <v>99.325000000000003</v>
      </c>
    </row>
    <row r="1704" spans="1:3">
      <c r="A1704" t="s">
        <v>5373</v>
      </c>
      <c r="B1704" t="s">
        <v>5373</v>
      </c>
      <c r="C1704">
        <f>Prices!$D$97</f>
        <v>99.325000000000003</v>
      </c>
    </row>
    <row r="1705" spans="1:3">
      <c r="A1705" t="s">
        <v>5374</v>
      </c>
      <c r="B1705" t="s">
        <v>5374</v>
      </c>
      <c r="C1705">
        <f>Prices!$D$97</f>
        <v>99.325000000000003</v>
      </c>
    </row>
    <row r="1706" spans="1:3">
      <c r="A1706" t="s">
        <v>5375</v>
      </c>
      <c r="B1706" t="s">
        <v>5375</v>
      </c>
      <c r="C1706">
        <f>Prices!$D$97</f>
        <v>99.325000000000003</v>
      </c>
    </row>
    <row r="1707" spans="1:3">
      <c r="A1707" t="s">
        <v>5375</v>
      </c>
      <c r="B1707" t="s">
        <v>5376</v>
      </c>
      <c r="C1707">
        <f>Prices!$D$97</f>
        <v>99.325000000000003</v>
      </c>
    </row>
    <row r="1708" spans="1:3">
      <c r="A1708" t="s">
        <v>5377</v>
      </c>
      <c r="B1708" t="s">
        <v>5377</v>
      </c>
      <c r="C1708">
        <f>Prices!$D$97</f>
        <v>99.325000000000003</v>
      </c>
    </row>
    <row r="1709" spans="1:3">
      <c r="A1709" t="s">
        <v>5378</v>
      </c>
      <c r="B1709" t="s">
        <v>5378</v>
      </c>
      <c r="C1709">
        <f>Prices!$D$97</f>
        <v>99.325000000000003</v>
      </c>
    </row>
    <row r="1710" spans="1:3">
      <c r="A1710" t="s">
        <v>5378</v>
      </c>
      <c r="B1710" t="s">
        <v>5379</v>
      </c>
      <c r="C1710">
        <f>Prices!$D$97</f>
        <v>99.325000000000003</v>
      </c>
    </row>
    <row r="1711" spans="1:3">
      <c r="A1711" t="s">
        <v>5380</v>
      </c>
      <c r="B1711" t="s">
        <v>5381</v>
      </c>
      <c r="C1711" s="98">
        <f>Prices!D110</f>
        <v>95.938375350140063</v>
      </c>
    </row>
    <row r="1712" spans="1:3">
      <c r="A1712" t="s">
        <v>11</v>
      </c>
      <c r="B1712" t="s">
        <v>5382</v>
      </c>
      <c r="C1712" s="98">
        <f t="shared" ref="C1712:C1740" si="0">VLOOKUP(A1712,$A$1:$C$1710,3,0)</f>
        <v>231.9597989949749</v>
      </c>
    </row>
    <row r="1713" spans="1:3">
      <c r="A1713" t="s">
        <v>2942</v>
      </c>
      <c r="B1713" t="s">
        <v>5383</v>
      </c>
      <c r="C1713" s="98">
        <f t="shared" si="0"/>
        <v>144.25</v>
      </c>
    </row>
    <row r="1714" spans="1:3">
      <c r="A1714" t="s">
        <v>1619</v>
      </c>
      <c r="B1714" t="s">
        <v>5384</v>
      </c>
      <c r="C1714" s="98">
        <f t="shared" si="0"/>
        <v>231.9597989949749</v>
      </c>
    </row>
    <row r="1715" spans="1:3">
      <c r="A1715" t="s">
        <v>1616</v>
      </c>
      <c r="B1715" t="s">
        <v>5385</v>
      </c>
      <c r="C1715" s="98">
        <f t="shared" si="0"/>
        <v>231.9597989949749</v>
      </c>
    </row>
    <row r="1716" spans="1:3">
      <c r="A1716" t="s">
        <v>5386</v>
      </c>
      <c r="B1716" t="s">
        <v>5387</v>
      </c>
      <c r="C1716" s="98">
        <f>C1717</f>
        <v>3</v>
      </c>
    </row>
    <row r="1717" spans="1:3">
      <c r="A1717" t="s">
        <v>156</v>
      </c>
      <c r="B1717" t="s">
        <v>5388</v>
      </c>
      <c r="C1717" s="98">
        <f t="shared" si="0"/>
        <v>3</v>
      </c>
    </row>
    <row r="1718" spans="1:3">
      <c r="A1718" t="s">
        <v>436</v>
      </c>
      <c r="B1718" t="s">
        <v>5389</v>
      </c>
      <c r="C1718" s="98">
        <f t="shared" si="0"/>
        <v>3</v>
      </c>
    </row>
    <row r="1719" spans="1:3">
      <c r="A1719" t="s">
        <v>1743</v>
      </c>
      <c r="B1719" t="s">
        <v>5390</v>
      </c>
      <c r="C1719" s="98">
        <f t="shared" si="0"/>
        <v>190.74380165289256</v>
      </c>
    </row>
    <row r="1720" spans="1:3">
      <c r="A1720" t="s">
        <v>5391</v>
      </c>
      <c r="B1720" t="s">
        <v>5392</v>
      </c>
      <c r="C1720" s="98">
        <f>C1718</f>
        <v>3</v>
      </c>
    </row>
    <row r="1721" spans="1:3">
      <c r="A1721" t="s">
        <v>1024</v>
      </c>
      <c r="B1721" t="s">
        <v>5393</v>
      </c>
      <c r="C1721" s="98">
        <f t="shared" si="0"/>
        <v>246.84491978609626</v>
      </c>
    </row>
    <row r="1722" spans="1:3">
      <c r="A1722" t="s">
        <v>2210</v>
      </c>
      <c r="B1722" t="s">
        <v>5394</v>
      </c>
      <c r="C1722" s="98">
        <f t="shared" si="0"/>
        <v>144.25</v>
      </c>
    </row>
    <row r="1723" spans="1:3">
      <c r="A1723" t="s">
        <v>1616</v>
      </c>
      <c r="B1723" t="s">
        <v>5395</v>
      </c>
      <c r="C1723" s="98">
        <f t="shared" si="0"/>
        <v>231.9597989949749</v>
      </c>
    </row>
    <row r="1724" spans="1:3">
      <c r="A1724" t="s">
        <v>2439</v>
      </c>
      <c r="B1724" t="s">
        <v>5396</v>
      </c>
      <c r="C1724" s="98">
        <f t="shared" si="0"/>
        <v>135.75539568345323</v>
      </c>
    </row>
    <row r="1725" spans="1:3">
      <c r="A1725" t="s">
        <v>1896</v>
      </c>
      <c r="B1725" t="s">
        <v>5397</v>
      </c>
      <c r="C1725" s="98">
        <f t="shared" si="0"/>
        <v>217.73584905660377</v>
      </c>
    </row>
    <row r="1726" spans="1:3">
      <c r="A1726" t="s">
        <v>2102</v>
      </c>
      <c r="B1726" t="s">
        <v>5398</v>
      </c>
      <c r="C1726" s="98">
        <f t="shared" si="0"/>
        <v>135.75539568345323</v>
      </c>
    </row>
    <row r="1727" spans="1:3">
      <c r="A1727" t="s">
        <v>3932</v>
      </c>
      <c r="B1727" t="s">
        <v>5399</v>
      </c>
      <c r="C1727" s="98">
        <f t="shared" si="0"/>
        <v>97.938375350140063</v>
      </c>
    </row>
    <row r="1728" spans="1:3">
      <c r="A1728" t="s">
        <v>233</v>
      </c>
      <c r="B1728" t="s">
        <v>5400</v>
      </c>
      <c r="C1728" s="98">
        <f t="shared" si="0"/>
        <v>191.40816326530611</v>
      </c>
    </row>
    <row r="1729" spans="1:3">
      <c r="A1729" t="s">
        <v>580</v>
      </c>
      <c r="B1729" t="s">
        <v>5401</v>
      </c>
      <c r="C1729" s="98">
        <f t="shared" si="0"/>
        <v>191.53526970954357</v>
      </c>
    </row>
    <row r="1730" spans="1:3">
      <c r="A1730" t="s">
        <v>723</v>
      </c>
      <c r="B1730" t="s">
        <v>5402</v>
      </c>
      <c r="C1730" s="98">
        <f t="shared" si="0"/>
        <v>231.9597989949749</v>
      </c>
    </row>
    <row r="1731" spans="1:3">
      <c r="A1731" t="s">
        <v>3269</v>
      </c>
      <c r="B1731" t="s">
        <v>5403</v>
      </c>
      <c r="C1731" s="98">
        <f t="shared" si="0"/>
        <v>144.25</v>
      </c>
    </row>
    <row r="1732" spans="1:3">
      <c r="A1732" t="s">
        <v>124</v>
      </c>
      <c r="B1732" t="s">
        <v>5404</v>
      </c>
      <c r="C1732" s="98">
        <f t="shared" si="0"/>
        <v>106.69781931464175</v>
      </c>
    </row>
    <row r="1733" spans="1:3">
      <c r="A1733" t="s">
        <v>1954</v>
      </c>
      <c r="B1733" t="s">
        <v>5405</v>
      </c>
      <c r="C1733" s="98">
        <f t="shared" si="0"/>
        <v>188.40816326530611</v>
      </c>
    </row>
    <row r="1734" spans="1:3">
      <c r="A1734" t="s">
        <v>1992</v>
      </c>
      <c r="B1734" t="s">
        <v>5406</v>
      </c>
      <c r="C1734" s="98">
        <f t="shared" si="0"/>
        <v>231.9597989949749</v>
      </c>
    </row>
    <row r="1735" spans="1:3">
      <c r="A1735" t="s">
        <v>11</v>
      </c>
      <c r="B1735" t="s">
        <v>5407</v>
      </c>
      <c r="C1735" s="98">
        <f t="shared" si="0"/>
        <v>231.9597989949749</v>
      </c>
    </row>
    <row r="1736" spans="1:3">
      <c r="A1736" t="s">
        <v>335</v>
      </c>
      <c r="B1736" t="s">
        <v>5408</v>
      </c>
      <c r="C1736" s="98">
        <f t="shared" si="0"/>
        <v>231.9597989949749</v>
      </c>
    </row>
    <row r="1737" spans="1:3">
      <c r="A1737" t="s">
        <v>275</v>
      </c>
      <c r="B1737" t="s">
        <v>5409</v>
      </c>
      <c r="C1737" s="98">
        <f t="shared" si="0"/>
        <v>231.9597989949749</v>
      </c>
    </row>
    <row r="1738" spans="1:3">
      <c r="A1738" t="s">
        <v>11</v>
      </c>
      <c r="B1738" t="s">
        <v>5410</v>
      </c>
      <c r="C1738" s="98">
        <f t="shared" si="0"/>
        <v>231.9597989949749</v>
      </c>
    </row>
    <row r="1739" spans="1:3">
      <c r="A1739" t="s">
        <v>1739</v>
      </c>
      <c r="B1739" t="s">
        <v>5411</v>
      </c>
      <c r="C1739" s="98">
        <f t="shared" si="0"/>
        <v>190.74380165289256</v>
      </c>
    </row>
    <row r="1740" spans="1:3">
      <c r="A1740" t="s">
        <v>1616</v>
      </c>
      <c r="B1740" t="s">
        <v>5412</v>
      </c>
      <c r="C1740" s="98">
        <f t="shared" si="0"/>
        <v>231.9597989949749</v>
      </c>
    </row>
  </sheetData>
  <autoFilter ref="A1:E1682" xr:uid="{251379A4-AC87-429A-8EEE-6019162DBB5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E026-99C7-4DD9-8CA3-8513C1535B48}">
  <dimension ref="A1:P117"/>
  <sheetViews>
    <sheetView topLeftCell="A79" zoomScale="111" workbookViewId="0">
      <selection activeCell="D8" sqref="D8"/>
    </sheetView>
  </sheetViews>
  <sheetFormatPr defaultColWidth="12.42578125" defaultRowHeight="15.75"/>
  <cols>
    <col min="1" max="2" width="12.42578125" style="2" customWidth="1"/>
    <col min="3" max="3" width="13.85546875" style="2" customWidth="1"/>
    <col min="4" max="7" width="12.42578125" style="2" customWidth="1"/>
    <col min="8" max="16384" width="12.42578125" style="2"/>
  </cols>
  <sheetData>
    <row r="1" spans="1:13" ht="23.1" customHeight="1">
      <c r="E1" s="100" t="s">
        <v>4905</v>
      </c>
      <c r="F1" s="101"/>
      <c r="G1" s="101"/>
      <c r="H1" s="101"/>
      <c r="K1" s="3"/>
    </row>
    <row r="2" spans="1:13">
      <c r="E2" s="4"/>
      <c r="F2" s="5"/>
    </row>
    <row r="3" spans="1:13">
      <c r="E3" s="4"/>
      <c r="F3" s="5"/>
    </row>
    <row r="4" spans="1:13" ht="17.100000000000001" customHeight="1" thickBot="1">
      <c r="A4" s="6" t="s">
        <v>4906</v>
      </c>
      <c r="B4" s="6"/>
      <c r="C4" s="6"/>
      <c r="D4" s="7">
        <v>4616</v>
      </c>
      <c r="E4" s="8"/>
      <c r="F4" s="9"/>
      <c r="G4" s="7" t="s">
        <v>4907</v>
      </c>
      <c r="H4" s="6"/>
      <c r="I4" s="6"/>
      <c r="J4" s="7">
        <f>D4/L4</f>
        <v>8.3927272727272726</v>
      </c>
      <c r="K4" s="10" t="s">
        <v>4908</v>
      </c>
      <c r="L4" s="2">
        <v>550</v>
      </c>
    </row>
    <row r="5" spans="1:13" ht="18" customHeight="1" thickTop="1" thickBot="1">
      <c r="A5" s="11" t="s">
        <v>4909</v>
      </c>
      <c r="B5" s="11"/>
      <c r="C5" s="11"/>
      <c r="D5" s="12">
        <v>68.5</v>
      </c>
      <c r="E5" s="8"/>
      <c r="F5" s="13"/>
      <c r="G5" s="12" t="s">
        <v>4910</v>
      </c>
      <c r="H5" s="11"/>
      <c r="I5" s="11"/>
      <c r="J5" s="12">
        <f>D5/L5</f>
        <v>42.024539877300619</v>
      </c>
      <c r="K5" s="14" t="s">
        <v>4911</v>
      </c>
      <c r="L5" s="2">
        <v>1.63</v>
      </c>
    </row>
    <row r="6" spans="1:13" ht="18" customHeight="1" thickTop="1" thickBot="1">
      <c r="A6" s="11" t="s">
        <v>4912</v>
      </c>
      <c r="B6" s="11"/>
      <c r="C6" s="11"/>
      <c r="D6" s="12">
        <v>1887</v>
      </c>
      <c r="E6" s="8"/>
      <c r="F6" s="9"/>
      <c r="G6" s="15"/>
      <c r="H6" s="16"/>
      <c r="I6" s="16"/>
      <c r="J6" s="16"/>
      <c r="K6" s="17"/>
    </row>
    <row r="7" spans="1:13" ht="18" customHeight="1" thickTop="1" thickBot="1">
      <c r="A7" s="11" t="s">
        <v>4913</v>
      </c>
      <c r="B7" s="11"/>
      <c r="C7" s="11"/>
      <c r="D7" s="12">
        <v>1375</v>
      </c>
      <c r="E7" s="8"/>
      <c r="F7" s="9"/>
      <c r="G7" s="7"/>
      <c r="H7" s="18"/>
      <c r="I7" s="18"/>
      <c r="J7" s="18"/>
      <c r="K7" s="18"/>
      <c r="L7" s="2" t="s">
        <v>4914</v>
      </c>
      <c r="M7" s="2" t="s">
        <v>4915</v>
      </c>
    </row>
    <row r="8" spans="1:13" ht="18" customHeight="1" thickTop="1" thickBot="1">
      <c r="A8" s="11"/>
      <c r="B8" s="11"/>
      <c r="C8" s="11"/>
      <c r="D8" s="11"/>
      <c r="E8" s="8"/>
      <c r="F8" s="9"/>
      <c r="G8" s="15" t="s">
        <v>4916</v>
      </c>
      <c r="H8" s="4"/>
      <c r="I8" s="4"/>
      <c r="J8" s="19">
        <f>D6/L8</f>
        <v>135.75539568345323</v>
      </c>
      <c r="K8" s="20" t="s">
        <v>4908</v>
      </c>
      <c r="L8" s="2">
        <f>556/40</f>
        <v>13.9</v>
      </c>
      <c r="M8" s="2">
        <f>319.7/371</f>
        <v>0.86172506738544474</v>
      </c>
    </row>
    <row r="9" spans="1:13" ht="18" customHeight="1" thickTop="1" thickBot="1">
      <c r="A9" s="16" t="s">
        <v>4917</v>
      </c>
      <c r="B9" s="16"/>
      <c r="C9" s="16"/>
      <c r="D9" s="15">
        <f>D4*102%</f>
        <v>4708.32</v>
      </c>
      <c r="E9" s="8"/>
      <c r="F9" s="15"/>
      <c r="G9" s="6" t="s">
        <v>4918</v>
      </c>
      <c r="H9" s="6"/>
      <c r="I9" s="7"/>
      <c r="J9" s="21">
        <f>D6/L9</f>
        <v>126.64429530201342</v>
      </c>
      <c r="K9" s="10" t="s">
        <v>4908</v>
      </c>
      <c r="L9" s="2">
        <v>14.9</v>
      </c>
      <c r="M9" s="2">
        <v>16.52196</v>
      </c>
    </row>
    <row r="10" spans="1:13" ht="18" customHeight="1" thickTop="1" thickBot="1">
      <c r="A10" s="6"/>
      <c r="B10" s="6" t="s">
        <v>4919</v>
      </c>
      <c r="C10" s="6"/>
      <c r="D10" s="7">
        <f>(D4+40)/20</f>
        <v>232.8</v>
      </c>
      <c r="E10" s="8"/>
      <c r="F10" s="9"/>
      <c r="G10" s="12" t="s">
        <v>4920</v>
      </c>
      <c r="H10" s="22"/>
      <c r="I10" s="22"/>
      <c r="J10" s="21">
        <f>D7/L11</f>
        <v>90.234375</v>
      </c>
      <c r="K10" s="10" t="s">
        <v>4908</v>
      </c>
      <c r="L10" s="2">
        <f>556/36</f>
        <v>15.444444444444445</v>
      </c>
      <c r="M10" s="4" t="s">
        <v>4921</v>
      </c>
    </row>
    <row r="11" spans="1:13" ht="17.100000000000001" customHeight="1" thickTop="1">
      <c r="A11" s="16"/>
      <c r="B11" s="16"/>
      <c r="C11" s="16"/>
      <c r="D11" s="15"/>
      <c r="E11" s="8" t="s">
        <v>4922</v>
      </c>
      <c r="F11" s="9"/>
      <c r="G11" s="8"/>
      <c r="H11" s="8"/>
      <c r="I11" s="8"/>
      <c r="J11" s="8"/>
      <c r="K11" s="8"/>
      <c r="L11" s="23">
        <f>320/21</f>
        <v>15.238095238095237</v>
      </c>
    </row>
    <row r="12" spans="1:13" ht="18" customHeight="1">
      <c r="B12" s="24"/>
      <c r="C12" s="24"/>
      <c r="D12" s="24"/>
      <c r="E12" s="24"/>
      <c r="F12" s="25"/>
      <c r="G12" s="24"/>
      <c r="H12" s="24"/>
      <c r="I12" s="24"/>
      <c r="J12" s="26" t="s">
        <v>4923</v>
      </c>
      <c r="K12" s="27" t="s">
        <v>4924</v>
      </c>
    </row>
    <row r="13" spans="1:13" ht="18" customHeight="1">
      <c r="B13" s="28" t="s">
        <v>4925</v>
      </c>
      <c r="C13" s="28"/>
      <c r="D13" s="28"/>
      <c r="E13" s="28"/>
      <c r="F13" s="28"/>
      <c r="G13" s="28"/>
      <c r="H13" s="28"/>
      <c r="I13" s="28"/>
      <c r="J13" s="29">
        <f>D4/L13</f>
        <v>188.40816326530611</v>
      </c>
      <c r="K13" s="30">
        <f>J13/1.55517</f>
        <v>121.14956131182194</v>
      </c>
      <c r="L13" s="2">
        <v>24.5</v>
      </c>
    </row>
    <row r="14" spans="1:13" ht="18" customHeight="1">
      <c r="B14" s="31"/>
      <c r="C14" s="31"/>
      <c r="D14" s="31"/>
      <c r="E14" s="31"/>
      <c r="F14" s="31"/>
      <c r="G14" s="31"/>
      <c r="H14" s="31"/>
      <c r="I14" s="31"/>
      <c r="J14" s="32"/>
      <c r="K14" s="33"/>
    </row>
    <row r="15" spans="1:13" ht="18" customHeight="1">
      <c r="B15" s="28" t="s">
        <v>4926</v>
      </c>
      <c r="C15" s="28"/>
      <c r="D15" s="28"/>
      <c r="E15" s="28"/>
      <c r="F15" s="28"/>
      <c r="G15" s="28"/>
      <c r="H15" s="28"/>
      <c r="I15" s="28"/>
      <c r="J15" s="29">
        <f>D4/L15</f>
        <v>190.74380165289256</v>
      </c>
      <c r="K15" s="30">
        <f>J15/1.555517</f>
        <v>122.62405467307175</v>
      </c>
      <c r="L15" s="2">
        <v>24.2</v>
      </c>
    </row>
    <row r="16" spans="1:13" ht="18" customHeight="1">
      <c r="B16" s="31"/>
      <c r="C16" s="31"/>
      <c r="D16" s="31"/>
      <c r="E16" s="31"/>
      <c r="F16" s="31"/>
      <c r="G16" s="31"/>
      <c r="H16" s="31"/>
      <c r="I16" s="31"/>
      <c r="J16" s="32"/>
      <c r="K16" s="33"/>
    </row>
    <row r="17" spans="2:12" ht="18" customHeight="1">
      <c r="B17" s="28" t="s">
        <v>4927</v>
      </c>
      <c r="C17" s="28"/>
      <c r="D17" s="28"/>
      <c r="E17" s="28"/>
      <c r="F17" s="28"/>
      <c r="G17" s="28"/>
      <c r="H17" s="28"/>
      <c r="I17" s="28"/>
      <c r="J17" s="29">
        <f>D4/L17</f>
        <v>190.74380165289256</v>
      </c>
      <c r="K17" s="30">
        <f>J17/1.55517</f>
        <v>122.65141537767097</v>
      </c>
      <c r="L17" s="2">
        <v>24.2</v>
      </c>
    </row>
    <row r="18" spans="2:12" ht="18" customHeight="1">
      <c r="B18" s="31"/>
      <c r="C18" s="31"/>
      <c r="D18" s="31"/>
      <c r="E18" s="31"/>
      <c r="F18" s="31"/>
      <c r="G18" s="31"/>
      <c r="H18" s="31"/>
      <c r="I18" s="31"/>
      <c r="J18" s="32"/>
      <c r="K18" s="33"/>
    </row>
    <row r="19" spans="2:12" ht="18" customHeight="1">
      <c r="B19" s="28" t="s">
        <v>4928</v>
      </c>
      <c r="C19" s="34"/>
      <c r="D19" s="34"/>
      <c r="E19" s="34"/>
      <c r="F19" s="35"/>
      <c r="G19" s="34"/>
      <c r="H19" s="34"/>
      <c r="I19" s="28"/>
      <c r="J19" s="29">
        <f>D4/L19</f>
        <v>191.53526970954357</v>
      </c>
      <c r="K19" s="30">
        <f>J19/1.55517</f>
        <v>123.1603424124331</v>
      </c>
      <c r="L19" s="2">
        <v>24.1</v>
      </c>
    </row>
    <row r="20" spans="2:12" ht="18" customHeight="1">
      <c r="B20" s="31"/>
      <c r="C20" s="24"/>
      <c r="D20" s="24"/>
      <c r="E20" s="24"/>
      <c r="F20" s="25"/>
      <c r="G20" s="24"/>
      <c r="H20" s="24"/>
      <c r="I20" s="31"/>
      <c r="J20" s="32"/>
      <c r="K20" s="33"/>
    </row>
    <row r="21" spans="2:12" ht="18" customHeight="1">
      <c r="B21" s="28" t="s">
        <v>4929</v>
      </c>
      <c r="C21" s="28"/>
      <c r="D21" s="28"/>
      <c r="E21" s="28"/>
      <c r="F21" s="28"/>
      <c r="G21" s="28"/>
      <c r="H21" s="28"/>
      <c r="I21" s="28"/>
      <c r="J21" s="29">
        <f>D4/L21</f>
        <v>192.33333333333334</v>
      </c>
      <c r="K21" s="30">
        <f>J21/1.55517</f>
        <v>123.67351050581824</v>
      </c>
      <c r="L21" s="2">
        <v>24</v>
      </c>
    </row>
    <row r="22" spans="2:12" ht="18" customHeight="1">
      <c r="B22" s="31"/>
      <c r="C22" s="31"/>
      <c r="D22" s="31"/>
      <c r="E22" s="31"/>
      <c r="F22" s="31"/>
      <c r="G22" s="31"/>
      <c r="H22" s="31"/>
      <c r="I22" s="31"/>
      <c r="J22" s="32"/>
      <c r="K22" s="33"/>
    </row>
    <row r="23" spans="2:12" ht="18" customHeight="1">
      <c r="B23" s="28" t="s">
        <v>4930</v>
      </c>
      <c r="C23" s="28"/>
      <c r="D23" s="28"/>
      <c r="E23" s="28"/>
      <c r="F23" s="28"/>
      <c r="G23" s="28"/>
      <c r="H23" s="28"/>
      <c r="I23" s="28"/>
      <c r="J23" s="29">
        <f>D4/L23</f>
        <v>196.42553191489361</v>
      </c>
      <c r="K23" s="30">
        <f>J23/1.55517</f>
        <v>126.30486179317606</v>
      </c>
      <c r="L23" s="2">
        <v>23.5</v>
      </c>
    </row>
    <row r="24" spans="2:12" ht="18" customHeight="1">
      <c r="B24" s="31"/>
      <c r="C24" s="31"/>
      <c r="D24" s="31"/>
      <c r="E24" s="31"/>
      <c r="F24" s="31"/>
      <c r="G24" s="31"/>
      <c r="H24" s="31"/>
      <c r="I24" s="31"/>
      <c r="J24" s="32"/>
      <c r="K24" s="33"/>
    </row>
    <row r="25" spans="2:12" ht="18" customHeight="1">
      <c r="B25" s="28" t="s">
        <v>4931</v>
      </c>
      <c r="C25" s="28"/>
      <c r="D25" s="28"/>
      <c r="E25" s="28"/>
      <c r="F25" s="28"/>
      <c r="G25" s="28"/>
      <c r="H25" s="28"/>
      <c r="I25" s="28"/>
      <c r="J25" s="29">
        <f>D4/L25</f>
        <v>209.81818181818181</v>
      </c>
      <c r="K25" s="30">
        <f>J25/1.55517</f>
        <v>134.91655691543806</v>
      </c>
      <c r="L25" s="2">
        <v>22</v>
      </c>
    </row>
    <row r="26" spans="2:12" ht="18" customHeight="1">
      <c r="B26" s="31"/>
      <c r="C26" s="31"/>
      <c r="D26" s="31"/>
      <c r="E26" s="31"/>
      <c r="F26" s="31"/>
      <c r="G26" s="31"/>
      <c r="H26" s="31"/>
      <c r="I26" s="31"/>
      <c r="J26" s="32"/>
      <c r="K26" s="33"/>
    </row>
    <row r="27" spans="2:12" ht="18" customHeight="1">
      <c r="B27" s="28" t="s">
        <v>4932</v>
      </c>
      <c r="C27" s="28"/>
      <c r="D27" s="28"/>
      <c r="E27" s="28"/>
      <c r="F27" s="28"/>
      <c r="G27" s="28"/>
      <c r="H27" s="28"/>
      <c r="I27" s="28"/>
      <c r="J27" s="29">
        <f>D4/L27</f>
        <v>242.94736842105263</v>
      </c>
      <c r="K27" s="30">
        <f>J27/1.55517</f>
        <v>156.21917116524409</v>
      </c>
      <c r="L27" s="2">
        <v>19</v>
      </c>
    </row>
    <row r="28" spans="2:12" ht="18" customHeight="1">
      <c r="B28" s="31"/>
      <c r="C28" s="31"/>
      <c r="D28" s="31"/>
      <c r="E28" s="31"/>
      <c r="F28" s="31"/>
      <c r="G28" s="31"/>
      <c r="H28" s="31"/>
      <c r="I28" s="31"/>
      <c r="J28" s="32"/>
      <c r="K28" s="33"/>
    </row>
    <row r="29" spans="2:12" ht="18" customHeight="1">
      <c r="B29" s="28" t="s">
        <v>4933</v>
      </c>
      <c r="C29" s="28"/>
      <c r="D29" s="28"/>
      <c r="E29" s="28"/>
      <c r="F29" s="28"/>
      <c r="G29" s="28"/>
      <c r="H29" s="28"/>
      <c r="I29" s="28"/>
      <c r="J29" s="29">
        <f>D4/L29</f>
        <v>256.44444444444446</v>
      </c>
      <c r="K29" s="30">
        <f>J29/1.55517</f>
        <v>164.89801400775764</v>
      </c>
      <c r="L29" s="2">
        <v>18</v>
      </c>
    </row>
    <row r="30" spans="2:12" ht="18" customHeight="1">
      <c r="B30" s="31"/>
      <c r="C30" s="31"/>
      <c r="D30" s="31"/>
      <c r="E30" s="31"/>
      <c r="F30" s="31"/>
      <c r="G30" s="31"/>
      <c r="H30" s="31"/>
      <c r="I30" s="31"/>
      <c r="J30" s="32"/>
      <c r="K30" s="33"/>
    </row>
    <row r="31" spans="2:12" ht="18" customHeight="1">
      <c r="B31" s="31"/>
      <c r="C31" s="31"/>
      <c r="D31" s="31"/>
      <c r="E31" s="31"/>
      <c r="F31" s="31"/>
      <c r="G31" s="31"/>
      <c r="H31" s="31"/>
      <c r="I31" s="31"/>
      <c r="J31" s="32"/>
      <c r="K31" s="33"/>
    </row>
    <row r="32" spans="2:12" ht="18" customHeight="1">
      <c r="B32" s="31"/>
      <c r="C32" s="31"/>
      <c r="D32" s="31"/>
      <c r="E32" s="31"/>
      <c r="F32" s="31"/>
      <c r="G32" s="31"/>
      <c r="H32" s="31"/>
      <c r="I32" s="31"/>
      <c r="J32" s="32"/>
      <c r="K32" s="33"/>
    </row>
    <row r="33" spans="2:12" ht="18" customHeight="1">
      <c r="B33" s="28" t="s">
        <v>4934</v>
      </c>
      <c r="C33" s="28"/>
      <c r="D33" s="28"/>
      <c r="E33" s="28"/>
      <c r="F33" s="28"/>
      <c r="G33" s="28"/>
      <c r="H33" s="28"/>
      <c r="I33" s="28"/>
      <c r="J33" s="29">
        <f>D4/L33</f>
        <v>231.9597989949749</v>
      </c>
      <c r="K33" s="30">
        <f>J33/1.55517</f>
        <v>149.15398251957978</v>
      </c>
      <c r="L33" s="2">
        <v>19.899999999999999</v>
      </c>
    </row>
    <row r="34" spans="2:12" ht="18" customHeight="1">
      <c r="B34" s="31"/>
      <c r="C34" s="31"/>
      <c r="D34" s="31"/>
      <c r="E34" s="31"/>
      <c r="F34" s="31"/>
      <c r="G34" s="31"/>
      <c r="H34" s="31"/>
      <c r="I34" s="31"/>
      <c r="J34" s="32"/>
      <c r="K34" s="33"/>
    </row>
    <row r="35" spans="2:12" ht="18" customHeight="1">
      <c r="B35" s="28" t="s">
        <v>4935</v>
      </c>
      <c r="C35" s="28"/>
      <c r="D35" s="28"/>
      <c r="E35" s="28"/>
      <c r="F35" s="28"/>
      <c r="G35" s="28"/>
      <c r="H35" s="28"/>
      <c r="I35" s="28"/>
      <c r="J35" s="29">
        <f>D4/L35</f>
        <v>233.13131313131314</v>
      </c>
      <c r="K35" s="30">
        <f>J35/1.55517</f>
        <v>149.90728546159787</v>
      </c>
      <c r="L35" s="2">
        <v>19.8</v>
      </c>
    </row>
    <row r="36" spans="2:12" ht="18" customHeight="1">
      <c r="B36" s="31"/>
      <c r="C36" s="31"/>
      <c r="D36" s="31"/>
      <c r="E36" s="31"/>
      <c r="F36" s="31"/>
      <c r="G36" s="31"/>
      <c r="H36" s="31"/>
      <c r="I36" s="31"/>
      <c r="J36" s="32"/>
      <c r="K36" s="33"/>
    </row>
    <row r="37" spans="2:12" ht="18" customHeight="1">
      <c r="B37" s="28" t="s">
        <v>4936</v>
      </c>
      <c r="C37" s="28"/>
      <c r="D37" s="28"/>
      <c r="E37" s="28"/>
      <c r="F37" s="28"/>
      <c r="G37" s="28"/>
      <c r="H37" s="28"/>
      <c r="I37" s="28"/>
      <c r="J37" s="29">
        <f>D4/L37</f>
        <v>234.31472081218274</v>
      </c>
      <c r="K37" s="30">
        <f>J37/1.55517</f>
        <v>150.66823614922018</v>
      </c>
      <c r="L37" s="2">
        <v>19.7</v>
      </c>
    </row>
    <row r="38" spans="2:12" ht="18" customHeight="1">
      <c r="B38" s="31"/>
      <c r="C38" s="31"/>
      <c r="D38" s="31"/>
      <c r="E38" s="31"/>
      <c r="F38" s="31"/>
      <c r="G38" s="31"/>
      <c r="H38" s="31"/>
      <c r="I38" s="31"/>
      <c r="J38" s="32"/>
      <c r="K38" s="33"/>
    </row>
    <row r="39" spans="2:12" ht="18" customHeight="1">
      <c r="B39" s="28" t="s">
        <v>4937</v>
      </c>
      <c r="C39" s="28"/>
      <c r="D39" s="28"/>
      <c r="E39" s="28"/>
      <c r="F39" s="28"/>
      <c r="G39" s="28"/>
      <c r="H39" s="28"/>
      <c r="I39" s="34"/>
      <c r="J39" s="29">
        <f>D4/L39</f>
        <v>246.84491978609626</v>
      </c>
      <c r="K39" s="30">
        <f>J39/1.55517</f>
        <v>158.72536107698596</v>
      </c>
      <c r="L39" s="4">
        <v>18.7</v>
      </c>
    </row>
    <row r="40" spans="2:12" ht="18" customHeight="1">
      <c r="B40" s="31"/>
      <c r="C40" s="31"/>
      <c r="D40" s="31"/>
      <c r="E40" s="31"/>
      <c r="F40" s="31"/>
      <c r="G40" s="31"/>
      <c r="H40" s="31"/>
      <c r="I40" s="24"/>
      <c r="J40" s="32"/>
      <c r="K40" s="33"/>
      <c r="L40" s="4"/>
    </row>
    <row r="41" spans="2:12" ht="18" customHeight="1">
      <c r="B41" s="31"/>
      <c r="C41" s="31"/>
      <c r="D41" s="31"/>
      <c r="E41" s="31"/>
      <c r="F41" s="31"/>
      <c r="G41" s="31"/>
      <c r="H41" s="31"/>
      <c r="I41" s="31"/>
      <c r="J41" s="32"/>
      <c r="K41" s="33"/>
      <c r="L41" s="4"/>
    </row>
    <row r="42" spans="2:12" ht="18" customHeight="1">
      <c r="B42" s="31"/>
      <c r="C42" s="31"/>
      <c r="D42" s="31"/>
      <c r="E42" s="31"/>
      <c r="F42" s="31"/>
      <c r="G42" s="31"/>
      <c r="H42" s="31"/>
      <c r="I42" s="31"/>
      <c r="J42" s="32"/>
      <c r="K42" s="33"/>
      <c r="L42" s="4"/>
    </row>
    <row r="43" spans="2:12" ht="18" customHeight="1">
      <c r="B43" s="28" t="s">
        <v>4938</v>
      </c>
      <c r="C43" s="28"/>
      <c r="D43" s="28"/>
      <c r="E43" s="28"/>
      <c r="F43" s="28"/>
      <c r="G43" s="28"/>
      <c r="H43" s="28"/>
      <c r="I43" s="28"/>
      <c r="J43" s="29">
        <f>D4/L43</f>
        <v>260.79096045197741</v>
      </c>
      <c r="K43" s="30">
        <f>J43/1.55517</f>
        <v>167.69289560110948</v>
      </c>
      <c r="L43" s="2">
        <v>17.7</v>
      </c>
    </row>
    <row r="44" spans="2:12" ht="18" customHeight="1">
      <c r="B44" s="31"/>
      <c r="C44" s="31"/>
      <c r="D44" s="31"/>
      <c r="E44" s="31"/>
      <c r="F44" s="31"/>
      <c r="G44" s="31"/>
      <c r="H44" s="31"/>
      <c r="I44" s="31"/>
      <c r="J44" s="32"/>
      <c r="K44" s="33"/>
    </row>
    <row r="45" spans="2:12" ht="18" customHeight="1">
      <c r="B45" s="28" t="s">
        <v>4939</v>
      </c>
      <c r="C45" s="28"/>
      <c r="D45" s="28"/>
      <c r="E45" s="28"/>
      <c r="F45" s="28"/>
      <c r="G45" s="28"/>
      <c r="H45" s="28"/>
      <c r="I45" s="28"/>
      <c r="J45" s="29">
        <f>D4/L45</f>
        <v>307.73333333333335</v>
      </c>
      <c r="K45" s="30">
        <f>J45/1.55517</f>
        <v>197.87761680930919</v>
      </c>
      <c r="L45" s="2">
        <v>15</v>
      </c>
    </row>
    <row r="46" spans="2:12" ht="18" customHeight="1">
      <c r="B46" s="31"/>
      <c r="C46" s="31"/>
      <c r="D46" s="31"/>
      <c r="E46" s="31"/>
      <c r="F46" s="31"/>
      <c r="G46" s="31"/>
      <c r="H46" s="31"/>
      <c r="I46" s="31"/>
      <c r="J46" s="32"/>
    </row>
    <row r="47" spans="2:12" ht="18" customHeight="1">
      <c r="B47" s="31"/>
      <c r="C47" s="31"/>
      <c r="D47" s="31"/>
      <c r="E47" s="31"/>
      <c r="F47" s="31"/>
      <c r="G47" s="31"/>
      <c r="H47" s="31"/>
      <c r="I47" s="31"/>
      <c r="J47" s="32"/>
    </row>
    <row r="48" spans="2:12" ht="18" customHeight="1">
      <c r="B48" s="31"/>
      <c r="C48" s="31"/>
      <c r="D48" s="31"/>
      <c r="E48" s="31"/>
      <c r="F48" s="31"/>
      <c r="G48" s="31"/>
      <c r="H48" s="31"/>
      <c r="I48" s="31"/>
      <c r="J48" s="32"/>
    </row>
    <row r="49" spans="2:13" ht="17.100000000000001" customHeight="1" thickBot="1">
      <c r="B49" s="36"/>
      <c r="C49" s="37"/>
      <c r="D49" s="38"/>
      <c r="E49" s="38"/>
      <c r="F49" s="38"/>
      <c r="G49" s="38"/>
      <c r="H49" s="38"/>
      <c r="I49" s="39"/>
      <c r="J49" s="40"/>
    </row>
    <row r="50" spans="2:13" ht="18" customHeight="1">
      <c r="B50" s="41" t="s">
        <v>4940</v>
      </c>
      <c r="C50" s="41"/>
      <c r="D50" s="41"/>
      <c r="E50" s="42" t="s">
        <v>4924</v>
      </c>
      <c r="F50" s="25"/>
      <c r="G50" s="24"/>
      <c r="H50" s="43" t="s">
        <v>4941</v>
      </c>
      <c r="I50" s="43"/>
      <c r="J50" s="44"/>
      <c r="K50" s="45" t="s">
        <v>4924</v>
      </c>
      <c r="L50" s="2">
        <v>14</v>
      </c>
      <c r="M50" s="2">
        <v>18</v>
      </c>
    </row>
    <row r="51" spans="2:13" ht="18" customHeight="1">
      <c r="B51" s="28" t="s">
        <v>4942</v>
      </c>
      <c r="C51" s="28"/>
      <c r="D51" s="29">
        <f>D4/L51</f>
        <v>184.64</v>
      </c>
      <c r="E51" s="46">
        <f>D51/1.55517</f>
        <v>118.72657008558549</v>
      </c>
      <c r="F51" s="25"/>
      <c r="G51" s="24"/>
      <c r="H51" s="28" t="s">
        <v>4942</v>
      </c>
      <c r="I51" s="28"/>
      <c r="J51" s="29">
        <f>D4/M51</f>
        <v>230.8</v>
      </c>
      <c r="K51" s="30">
        <f>J51/1.55517</f>
        <v>148.40821260698189</v>
      </c>
      <c r="L51" s="2">
        <v>25</v>
      </c>
      <c r="M51" s="2">
        <v>20</v>
      </c>
    </row>
    <row r="52" spans="2:13" ht="18" customHeight="1">
      <c r="B52" s="47" t="s">
        <v>4943</v>
      </c>
      <c r="C52" s="47"/>
      <c r="D52" s="48">
        <f>D4/L52</f>
        <v>177.53846153846155</v>
      </c>
      <c r="E52" s="46">
        <f>D52/1.55517</f>
        <v>114.16016354383223</v>
      </c>
      <c r="F52" s="25"/>
      <c r="G52" s="24"/>
      <c r="H52" s="47" t="s">
        <v>4943</v>
      </c>
      <c r="I52" s="47"/>
      <c r="J52" s="48">
        <f>D4/M52</f>
        <v>225.17073170731706</v>
      </c>
      <c r="K52" s="30">
        <f>J52/1.55517</f>
        <v>144.78850010437256</v>
      </c>
      <c r="L52" s="2">
        <v>26</v>
      </c>
      <c r="M52" s="2">
        <v>20.5</v>
      </c>
    </row>
    <row r="53" spans="2:13" ht="18" customHeight="1">
      <c r="B53" s="28" t="s">
        <v>4944</v>
      </c>
      <c r="C53" s="28"/>
      <c r="D53" s="29">
        <f>D4/L53</f>
        <v>174.18867924528303</v>
      </c>
      <c r="E53" s="46">
        <f>D53/1.55517</f>
        <v>112.00619819394859</v>
      </c>
      <c r="F53" s="25"/>
      <c r="G53" s="24"/>
      <c r="H53" s="47" t="s">
        <v>4944</v>
      </c>
      <c r="I53" s="47"/>
      <c r="J53" s="48">
        <f>D4/M53</f>
        <v>219.8095238095238</v>
      </c>
      <c r="K53" s="30">
        <f>J53/1.55517</f>
        <v>141.34115486379227</v>
      </c>
      <c r="L53" s="2">
        <v>26.5</v>
      </c>
      <c r="M53" s="2">
        <v>21</v>
      </c>
    </row>
    <row r="54" spans="2:13" ht="18.95" customHeight="1" thickBot="1">
      <c r="B54" s="49" t="s">
        <v>4945</v>
      </c>
      <c r="C54" s="50"/>
      <c r="D54" s="51">
        <f>D4/L54</f>
        <v>170.96296296296296</v>
      </c>
      <c r="E54" s="52">
        <f>D54/1.55517</f>
        <v>109.9320093385051</v>
      </c>
      <c r="F54" s="50" t="s">
        <v>4946</v>
      </c>
      <c r="G54" s="50"/>
      <c r="H54" s="50"/>
      <c r="I54" s="50"/>
      <c r="J54" s="53">
        <f>D4/M54</f>
        <v>209.81818181818181</v>
      </c>
      <c r="K54" s="30">
        <f>J54/1.55517</f>
        <v>134.91655691543806</v>
      </c>
      <c r="L54" s="2">
        <v>27</v>
      </c>
      <c r="M54" s="2">
        <v>22</v>
      </c>
    </row>
    <row r="55" spans="2:13" ht="17.100000000000001" customHeight="1" thickBot="1">
      <c r="B55" s="54"/>
      <c r="C55" s="54"/>
      <c r="D55" s="54"/>
      <c r="E55" s="55"/>
      <c r="F55" s="56"/>
      <c r="G55" s="54"/>
      <c r="H55" s="54"/>
      <c r="I55" s="54"/>
      <c r="J55" s="54"/>
      <c r="K55" s="33"/>
    </row>
    <row r="56" spans="2:13" ht="18" customHeight="1">
      <c r="B56" s="41" t="s">
        <v>4947</v>
      </c>
      <c r="C56" s="41"/>
      <c r="D56" s="41"/>
      <c r="E56" s="57"/>
      <c r="F56" s="25"/>
      <c r="G56" s="24"/>
      <c r="H56" s="43" t="s">
        <v>4948</v>
      </c>
      <c r="I56" s="43"/>
      <c r="J56" s="44"/>
      <c r="K56" s="33"/>
      <c r="L56" s="2">
        <v>10</v>
      </c>
      <c r="M56" s="2">
        <v>22</v>
      </c>
    </row>
    <row r="57" spans="2:13" ht="18" customHeight="1">
      <c r="B57" s="28" t="s">
        <v>4942</v>
      </c>
      <c r="C57" s="28"/>
      <c r="D57" s="29">
        <f>D4/L57</f>
        <v>144.25</v>
      </c>
      <c r="E57" s="46">
        <f>D57/1.77717</f>
        <v>81.168374438011</v>
      </c>
      <c r="F57" s="25"/>
      <c r="G57" s="24"/>
      <c r="H57" s="28" t="s">
        <v>4942</v>
      </c>
      <c r="I57" s="28"/>
      <c r="J57" s="29">
        <f>D4/M57</f>
        <v>260.79096045197741</v>
      </c>
      <c r="K57" s="30">
        <f>J57/1.55517</f>
        <v>167.69289560110948</v>
      </c>
      <c r="L57" s="2">
        <v>32</v>
      </c>
      <c r="M57" s="2">
        <v>17.7</v>
      </c>
    </row>
    <row r="58" spans="2:13" ht="18" customHeight="1">
      <c r="B58" s="47" t="s">
        <v>4943</v>
      </c>
      <c r="C58" s="47"/>
      <c r="D58" s="48">
        <f>D4/L58</f>
        <v>142.03076923076924</v>
      </c>
      <c r="E58" s="46">
        <f>D58/1.55517</f>
        <v>91.328130835065778</v>
      </c>
      <c r="F58" s="25"/>
      <c r="G58" s="24"/>
      <c r="H58" s="47" t="s">
        <v>4943</v>
      </c>
      <c r="I58" s="47"/>
      <c r="J58" s="29">
        <f>D4/M58</f>
        <v>256.44444444444446</v>
      </c>
      <c r="K58" s="30">
        <f>J58/1.55517</f>
        <v>164.89801400775764</v>
      </c>
      <c r="L58" s="2">
        <v>32.5</v>
      </c>
      <c r="M58" s="2">
        <v>18</v>
      </c>
    </row>
    <row r="59" spans="2:13" ht="18.95" customHeight="1" thickBot="1">
      <c r="B59" s="50" t="s">
        <v>4944</v>
      </c>
      <c r="C59" s="50"/>
      <c r="D59" s="53">
        <f>D4/L59</f>
        <v>130.95035460992906</v>
      </c>
      <c r="E59" s="58">
        <f>D59/1.55517</f>
        <v>84.203241195450701</v>
      </c>
      <c r="F59" s="59"/>
      <c r="G59" s="60"/>
      <c r="H59" s="61" t="s">
        <v>4944</v>
      </c>
      <c r="I59" s="61"/>
      <c r="J59" s="62">
        <f>D4/M59</f>
        <v>242.94736842105263</v>
      </c>
      <c r="K59" s="30">
        <f>J59/1.55517</f>
        <v>156.21917116524409</v>
      </c>
      <c r="L59" s="2">
        <v>35.25</v>
      </c>
      <c r="M59" s="2">
        <v>19</v>
      </c>
    </row>
    <row r="60" spans="2:13" ht="18" customHeight="1">
      <c r="B60" s="43" t="s">
        <v>4949</v>
      </c>
      <c r="C60" s="31"/>
      <c r="D60" s="63">
        <f>D4/L60</f>
        <v>128.22222222222223</v>
      </c>
      <c r="E60" s="64">
        <f>D60/1.55517</f>
        <v>82.449007003878819</v>
      </c>
      <c r="F60" s="31" t="s">
        <v>4950</v>
      </c>
      <c r="G60" s="31"/>
      <c r="H60" s="31"/>
      <c r="I60" s="31"/>
      <c r="J60" s="65">
        <f>D4/M60</f>
        <v>236.71794871794873</v>
      </c>
      <c r="K60" s="66">
        <f>J60/1.55517</f>
        <v>152.21355139177629</v>
      </c>
      <c r="L60" s="2">
        <v>36</v>
      </c>
      <c r="M60" s="2">
        <v>19.5</v>
      </c>
    </row>
    <row r="61" spans="2:13">
      <c r="B61" s="4"/>
      <c r="C61" s="4"/>
      <c r="D61" s="4"/>
      <c r="E61" s="4"/>
      <c r="F61" s="5"/>
      <c r="G61" s="4"/>
      <c r="H61" s="4"/>
      <c r="I61" s="4"/>
      <c r="J61" s="4"/>
    </row>
    <row r="62" spans="2:13">
      <c r="F62" s="5"/>
    </row>
    <row r="63" spans="2:13">
      <c r="B63" s="67" t="s">
        <v>4906</v>
      </c>
      <c r="C63" s="68">
        <f>D4</f>
        <v>4616</v>
      </c>
      <c r="D63" s="67"/>
      <c r="E63" s="67"/>
      <c r="F63" s="67" t="s">
        <v>4951</v>
      </c>
      <c r="G63" s="68">
        <f>C63/H63</f>
        <v>76.933333333333337</v>
      </c>
      <c r="H63" s="69">
        <v>60</v>
      </c>
      <c r="I63" s="70"/>
    </row>
    <row r="64" spans="2:13">
      <c r="B64" s="67" t="s">
        <v>4909</v>
      </c>
      <c r="C64" s="68">
        <f>D5</f>
        <v>68.5</v>
      </c>
      <c r="D64" s="67"/>
      <c r="E64" s="67"/>
      <c r="F64" s="67" t="s">
        <v>4910</v>
      </c>
      <c r="G64" s="68">
        <f>C64/H64</f>
        <v>42.024539877300619</v>
      </c>
      <c r="H64" s="69">
        <v>1.63</v>
      </c>
      <c r="I64" s="70"/>
    </row>
    <row r="65" spans="2:16">
      <c r="B65" s="67"/>
      <c r="C65" s="68"/>
      <c r="D65" s="67"/>
      <c r="E65" s="67"/>
      <c r="F65" s="67"/>
      <c r="G65" s="71"/>
      <c r="H65" s="72"/>
      <c r="I65" s="70"/>
    </row>
    <row r="66" spans="2:16">
      <c r="C66" s="73"/>
      <c r="G66" s="74"/>
      <c r="H66" s="69"/>
    </row>
    <row r="67" spans="2:16" ht="18" customHeight="1">
      <c r="B67" s="75"/>
      <c r="C67" s="76"/>
      <c r="D67" s="76"/>
      <c r="E67" s="75"/>
      <c r="F67" s="75"/>
      <c r="G67" s="77"/>
      <c r="H67" s="78"/>
    </row>
    <row r="68" spans="2:16" ht="18" customHeight="1">
      <c r="B68" s="75" t="s">
        <v>4952</v>
      </c>
      <c r="C68" s="76"/>
      <c r="D68" s="76"/>
      <c r="E68" s="75"/>
      <c r="F68" s="75" t="s">
        <v>4953</v>
      </c>
      <c r="G68" s="77"/>
      <c r="H68" s="78"/>
      <c r="M68" s="75" t="s">
        <v>4954</v>
      </c>
      <c r="N68" s="77">
        <f>D4/P68</f>
        <v>220.97860586244369</v>
      </c>
      <c r="O68" s="78">
        <v>0.52</v>
      </c>
      <c r="P68" s="2">
        <v>20.8889</v>
      </c>
    </row>
    <row r="69" spans="2:16" ht="18" customHeight="1">
      <c r="B69" s="75" t="s">
        <v>4955</v>
      </c>
      <c r="C69" s="76"/>
      <c r="D69" s="76">
        <f>D5/H69</f>
        <v>95.938375350140063</v>
      </c>
      <c r="E69" s="75"/>
      <c r="F69" s="75" t="s">
        <v>4956</v>
      </c>
      <c r="G69" s="77">
        <f>D5/I69</f>
        <v>106.69781931464175</v>
      </c>
      <c r="H69" s="93">
        <v>0.71399999999999997</v>
      </c>
      <c r="I69">
        <v>0.64200000000000002</v>
      </c>
      <c r="M69" s="75" t="s">
        <v>4957</v>
      </c>
      <c r="N69" s="77">
        <f>D4/P69</f>
        <v>205.83802295611227</v>
      </c>
      <c r="O69" s="78">
        <v>0.54</v>
      </c>
      <c r="P69" s="2">
        <v>22.4254</v>
      </c>
    </row>
    <row r="70" spans="2:16" ht="18" customHeight="1">
      <c r="B70" s="75" t="s">
        <v>4958</v>
      </c>
      <c r="C70" s="76"/>
      <c r="D70" s="76">
        <f>C64/H70</f>
        <v>95.006934812760065</v>
      </c>
      <c r="E70" s="75"/>
      <c r="F70" s="75" t="s">
        <v>4959</v>
      </c>
      <c r="G70" s="77">
        <f>C64/I70</f>
        <v>105.87326120556413</v>
      </c>
      <c r="H70" s="93">
        <v>0.72099999999999997</v>
      </c>
      <c r="I70">
        <v>0.64700000000000002</v>
      </c>
    </row>
    <row r="71" spans="2:16" ht="18" customHeight="1">
      <c r="B71" s="75" t="s">
        <v>4960</v>
      </c>
      <c r="C71" s="76"/>
      <c r="D71" s="76">
        <f>C64/H71</f>
        <v>93.579234972677597</v>
      </c>
      <c r="E71" s="75"/>
      <c r="F71" s="75" t="s">
        <v>4961</v>
      </c>
      <c r="G71" s="77">
        <f>C64/I71</f>
        <v>103.16265060240963</v>
      </c>
      <c r="H71" s="93">
        <v>0.73199999999999998</v>
      </c>
      <c r="I71">
        <v>0.66400000000000003</v>
      </c>
    </row>
    <row r="72" spans="2:16" ht="18" customHeight="1">
      <c r="B72" s="75" t="s">
        <v>4962</v>
      </c>
      <c r="C72" s="76"/>
      <c r="D72" s="76">
        <f>C64/H72</f>
        <v>89.659685863874344</v>
      </c>
      <c r="E72" s="75"/>
      <c r="F72" s="75" t="s">
        <v>4962</v>
      </c>
      <c r="G72" s="77">
        <f>C64/I72</f>
        <v>97.717546362339519</v>
      </c>
      <c r="H72" s="93">
        <v>0.76400000000000001</v>
      </c>
      <c r="I72">
        <v>0.70099999999999996</v>
      </c>
    </row>
    <row r="73" spans="2:16">
      <c r="C73" s="79"/>
      <c r="G73" s="74"/>
      <c r="H73" s="69"/>
    </row>
    <row r="74" spans="2:16" ht="18" customHeight="1">
      <c r="B74" s="75" t="s">
        <v>4963</v>
      </c>
      <c r="C74" s="79"/>
      <c r="D74" s="75" t="s">
        <v>4964</v>
      </c>
      <c r="G74" s="74"/>
      <c r="H74" s="69"/>
      <c r="K74" s="99">
        <f>1-(D70/D69)</f>
        <v>9.7087378640776656E-3</v>
      </c>
    </row>
    <row r="76" spans="2:16">
      <c r="C76" s="80"/>
      <c r="G76" s="81"/>
      <c r="H76" s="82"/>
    </row>
    <row r="77" spans="2:16">
      <c r="B77" s="83" t="s">
        <v>4906</v>
      </c>
      <c r="C77" s="84">
        <f>D4</f>
        <v>4616</v>
      </c>
      <c r="D77" s="83"/>
      <c r="E77" s="83"/>
      <c r="F77" s="83" t="s">
        <v>4951</v>
      </c>
      <c r="G77" s="84">
        <f>C77/H77</f>
        <v>76.933333333333337</v>
      </c>
      <c r="H77" s="82">
        <v>60</v>
      </c>
      <c r="I77" s="85"/>
    </row>
    <row r="78" spans="2:16">
      <c r="B78" s="83" t="s">
        <v>4909</v>
      </c>
      <c r="C78" s="84">
        <f>D5</f>
        <v>68.5</v>
      </c>
      <c r="D78" s="83"/>
      <c r="E78" s="83"/>
      <c r="F78" s="83" t="s">
        <v>4910</v>
      </c>
      <c r="G78" s="84">
        <f>C78/H78</f>
        <v>42.024539877300619</v>
      </c>
      <c r="H78" s="82">
        <v>1.63</v>
      </c>
      <c r="I78" s="85"/>
    </row>
    <row r="79" spans="2:16">
      <c r="B79" s="83"/>
      <c r="C79" s="86"/>
      <c r="D79" s="83"/>
      <c r="E79" s="83"/>
      <c r="F79" s="83"/>
      <c r="G79" s="87"/>
      <c r="H79" s="88"/>
      <c r="I79" s="85"/>
    </row>
    <row r="80" spans="2:16">
      <c r="C80" s="89"/>
      <c r="G80" s="81"/>
      <c r="H80" s="82"/>
    </row>
    <row r="81" spans="2:9" ht="18" customHeight="1">
      <c r="B81" s="90" t="s">
        <v>4965</v>
      </c>
      <c r="C81" s="91"/>
      <c r="D81" s="91">
        <f>C78/H81</f>
        <v>131.73076923076923</v>
      </c>
      <c r="E81" s="91"/>
      <c r="F81" s="90" t="s">
        <v>4954</v>
      </c>
      <c r="G81" s="92">
        <f>C77/I81</f>
        <v>217.73584905660377</v>
      </c>
      <c r="H81" s="93">
        <v>0.52</v>
      </c>
      <c r="I81">
        <v>21.2</v>
      </c>
    </row>
    <row r="82" spans="2:9" ht="18" customHeight="1">
      <c r="B82" s="90" t="s">
        <v>4966</v>
      </c>
      <c r="C82" s="91"/>
      <c r="D82" s="91">
        <f>C78/H82</f>
        <v>126.85185185185185</v>
      </c>
      <c r="E82" s="90"/>
      <c r="F82" s="90" t="s">
        <v>4957</v>
      </c>
      <c r="G82" s="92">
        <f>C77/I82</f>
        <v>211.74311926605503</v>
      </c>
      <c r="H82" s="93">
        <v>0.54</v>
      </c>
      <c r="I82">
        <v>21.8</v>
      </c>
    </row>
    <row r="83" spans="2:9" ht="18" customHeight="1">
      <c r="B83" s="90" t="s">
        <v>4967</v>
      </c>
      <c r="C83" s="91"/>
      <c r="D83" s="91">
        <f>C78/H83</f>
        <v>129.24528301886792</v>
      </c>
      <c r="E83" s="90"/>
      <c r="F83" s="90" t="s">
        <v>940</v>
      </c>
      <c r="G83" s="92">
        <f>C77/I83</f>
        <v>233.72151898734177</v>
      </c>
      <c r="H83" s="93">
        <v>0.53</v>
      </c>
      <c r="I83">
        <v>19.75</v>
      </c>
    </row>
    <row r="84" spans="2:9" ht="18" customHeight="1">
      <c r="B84" s="90" t="s">
        <v>4968</v>
      </c>
      <c r="C84" s="91"/>
      <c r="D84" s="91">
        <f>C78/H84</f>
        <v>131.73076923076923</v>
      </c>
      <c r="E84" s="90"/>
      <c r="F84" s="90" t="s">
        <v>4969</v>
      </c>
      <c r="G84" s="92">
        <f>C77/I84</f>
        <v>231.2092403554291</v>
      </c>
      <c r="H84" s="93">
        <v>0.52</v>
      </c>
      <c r="I84">
        <v>19.964600000000001</v>
      </c>
    </row>
    <row r="85" spans="2:9" ht="18" customHeight="1">
      <c r="B85" s="90" t="s">
        <v>4970</v>
      </c>
      <c r="C85" s="91"/>
      <c r="D85" s="91">
        <f>C78/H85</f>
        <v>159.30232558139537</v>
      </c>
      <c r="E85" s="90"/>
      <c r="F85" s="90" t="s">
        <v>4971</v>
      </c>
      <c r="G85" s="92">
        <f>C77/I85</f>
        <v>231.2092403554291</v>
      </c>
      <c r="H85" s="93">
        <v>0.43</v>
      </c>
      <c r="I85">
        <v>19.964600000000001</v>
      </c>
    </row>
    <row r="86" spans="2:9" ht="18" customHeight="1">
      <c r="B86" s="90" t="s">
        <v>4972</v>
      </c>
      <c r="C86" s="91"/>
      <c r="D86" s="91">
        <f>C78/H86</f>
        <v>131.73076923076923</v>
      </c>
      <c r="E86" s="90"/>
      <c r="F86" s="90"/>
      <c r="G86" s="92"/>
      <c r="H86" s="93">
        <v>0.52</v>
      </c>
    </row>
    <row r="87" spans="2:9" ht="18" customHeight="1">
      <c r="B87" s="90" t="s">
        <v>4973</v>
      </c>
      <c r="C87" s="91"/>
      <c r="D87" s="91">
        <f>C78/H87</f>
        <v>195.71428571428572</v>
      </c>
      <c r="E87" s="90"/>
      <c r="F87" s="90"/>
      <c r="G87" s="92"/>
      <c r="H87" s="93">
        <v>0.35</v>
      </c>
    </row>
    <row r="88" spans="2:9" ht="18" customHeight="1">
      <c r="B88" s="90" t="s">
        <v>4974</v>
      </c>
      <c r="C88" s="91"/>
      <c r="D88" s="91">
        <f>C78/H88</f>
        <v>201.47058823529412</v>
      </c>
      <c r="E88" s="90"/>
      <c r="F88" s="90"/>
      <c r="G88" s="92"/>
      <c r="H88" s="93">
        <v>0.34</v>
      </c>
    </row>
    <row r="89" spans="2:9" ht="18" customHeight="1">
      <c r="B89" s="90"/>
      <c r="C89" s="91"/>
      <c r="D89" s="91"/>
      <c r="E89" s="90"/>
      <c r="F89" s="90"/>
      <c r="G89" s="92"/>
      <c r="H89" s="93"/>
    </row>
    <row r="90" spans="2:9" ht="18" customHeight="1">
      <c r="B90" s="90"/>
      <c r="C90" s="91"/>
      <c r="D90" s="91"/>
      <c r="E90" s="90"/>
      <c r="F90" s="90" t="s">
        <v>4975</v>
      </c>
      <c r="G90" s="92"/>
      <c r="H90" s="93"/>
    </row>
    <row r="91" spans="2:9" ht="18" customHeight="1">
      <c r="B91" s="90" t="s">
        <v>4976</v>
      </c>
      <c r="C91" s="91"/>
      <c r="D91" s="91">
        <f>C78/H91</f>
        <v>118.10344827586208</v>
      </c>
      <c r="E91" s="90"/>
      <c r="F91" s="90" t="s">
        <v>4977</v>
      </c>
      <c r="G91" s="92">
        <f>C78/I91</f>
        <v>83.181542197935642</v>
      </c>
      <c r="H91" s="93">
        <v>0.57999999999999996</v>
      </c>
      <c r="I91">
        <v>0.82350000000000001</v>
      </c>
    </row>
    <row r="92" spans="2:9" ht="18" customHeight="1">
      <c r="B92" s="90" t="s">
        <v>4978</v>
      </c>
      <c r="C92" s="91"/>
      <c r="D92" s="91">
        <v>2</v>
      </c>
      <c r="E92" s="90"/>
      <c r="F92" s="90" t="s">
        <v>4979</v>
      </c>
      <c r="G92" s="92">
        <f>C78/I92</f>
        <v>81.209247184350914</v>
      </c>
      <c r="H92" s="93"/>
      <c r="I92">
        <v>0.84350000000000003</v>
      </c>
    </row>
    <row r="93" spans="2:9" ht="18" customHeight="1">
      <c r="B93" s="90" t="s">
        <v>4980</v>
      </c>
      <c r="C93" s="91"/>
      <c r="D93" s="91">
        <v>1.5</v>
      </c>
      <c r="E93" s="90"/>
      <c r="F93" s="90" t="s">
        <v>4981</v>
      </c>
      <c r="G93" s="92">
        <f>C78/I93</f>
        <v>76.331624693559178</v>
      </c>
      <c r="H93" s="93"/>
      <c r="I93">
        <v>0.89739999999999998</v>
      </c>
    </row>
    <row r="94" spans="2:9" ht="18" customHeight="1">
      <c r="B94" s="90"/>
      <c r="C94" s="91"/>
      <c r="D94" s="91"/>
      <c r="E94" s="90"/>
      <c r="F94" s="90"/>
      <c r="G94" s="92"/>
      <c r="H94" s="93"/>
    </row>
    <row r="95" spans="2:9" ht="18" customHeight="1">
      <c r="B95" s="90"/>
      <c r="C95" s="91"/>
      <c r="D95" s="91"/>
      <c r="E95" s="90"/>
      <c r="F95" s="90"/>
      <c r="G95" s="92"/>
      <c r="H95" s="93"/>
    </row>
    <row r="96" spans="2:9" ht="18" customHeight="1">
      <c r="B96" s="90" t="s">
        <v>4982</v>
      </c>
      <c r="C96" s="91"/>
      <c r="D96" s="91"/>
      <c r="E96" s="90"/>
      <c r="F96" s="90" t="s">
        <v>4983</v>
      </c>
      <c r="G96" s="92"/>
      <c r="H96" s="93"/>
    </row>
    <row r="97" spans="2:10" ht="18" customHeight="1">
      <c r="B97" s="90" t="s">
        <v>4984</v>
      </c>
      <c r="C97" s="91"/>
      <c r="D97" s="91">
        <f>$D$5*J97</f>
        <v>99.325000000000003</v>
      </c>
      <c r="E97" s="90"/>
      <c r="F97" s="90" t="s">
        <v>4977</v>
      </c>
      <c r="G97" s="92">
        <f>C78/I97</f>
        <v>87.820512820512818</v>
      </c>
      <c r="H97" s="93">
        <v>0.53500000000000003</v>
      </c>
      <c r="I97">
        <v>0.78</v>
      </c>
      <c r="J97" s="2">
        <v>1.45</v>
      </c>
    </row>
    <row r="98" spans="2:10" ht="18" customHeight="1">
      <c r="B98" s="90" t="s">
        <v>4985</v>
      </c>
      <c r="C98" s="91"/>
      <c r="D98" s="91">
        <f>$D$5*J98</f>
        <v>100.69499999999999</v>
      </c>
      <c r="E98" s="90"/>
      <c r="F98" s="90" t="s">
        <v>4986</v>
      </c>
      <c r="G98" s="92">
        <f>C78/I98</f>
        <v>83.833068167910895</v>
      </c>
      <c r="H98" s="93">
        <v>0.53500000000000003</v>
      </c>
      <c r="I98">
        <v>0.81710000000000005</v>
      </c>
      <c r="J98" s="90">
        <v>1.47</v>
      </c>
    </row>
    <row r="99" spans="2:10" ht="18" customHeight="1">
      <c r="B99" s="90" t="s">
        <v>4987</v>
      </c>
      <c r="C99" s="91"/>
      <c r="D99" s="91">
        <f>$D$5*J99</f>
        <v>102.065</v>
      </c>
      <c r="E99" s="90"/>
      <c r="F99" s="90" t="s">
        <v>4988</v>
      </c>
      <c r="G99" s="92">
        <f>C78*108%</f>
        <v>73.98</v>
      </c>
      <c r="H99" s="93">
        <v>0.23499999999999999</v>
      </c>
      <c r="I99">
        <v>0.23499999999999999</v>
      </c>
      <c r="J99" s="90">
        <v>1.49</v>
      </c>
    </row>
    <row r="100" spans="2:10" ht="18" customHeight="1">
      <c r="B100" s="90" t="s">
        <v>4989</v>
      </c>
      <c r="C100" s="91"/>
      <c r="D100" s="91">
        <f>$D$5*J100</f>
        <v>82.2</v>
      </c>
      <c r="E100" s="90"/>
      <c r="F100" s="90"/>
      <c r="G100" s="92"/>
      <c r="H100" s="93"/>
      <c r="J100" s="90">
        <v>1.2</v>
      </c>
    </row>
    <row r="101" spans="2:10" ht="18" customHeight="1">
      <c r="B101" s="90" t="s">
        <v>4990</v>
      </c>
      <c r="C101" s="91"/>
      <c r="D101" s="91">
        <f>D97/4</f>
        <v>24.831250000000001</v>
      </c>
      <c r="E101" s="90"/>
      <c r="F101" s="90"/>
      <c r="G101" s="92"/>
      <c r="H101" s="93"/>
    </row>
    <row r="102" spans="2:10" ht="18" customHeight="1">
      <c r="B102" s="90"/>
      <c r="C102" s="91"/>
      <c r="D102" s="91"/>
      <c r="E102" s="90"/>
      <c r="F102" s="90" t="s">
        <v>4991</v>
      </c>
      <c r="G102" s="92">
        <f>C78/I102</f>
        <v>114.16666666666667</v>
      </c>
      <c r="H102" s="93"/>
      <c r="I102" s="93">
        <v>0.6</v>
      </c>
    </row>
    <row r="103" spans="2:10" ht="18" customHeight="1">
      <c r="B103" s="90" t="s">
        <v>4992</v>
      </c>
      <c r="C103" s="91"/>
      <c r="D103" s="91"/>
      <c r="E103" s="90"/>
      <c r="F103" s="90"/>
      <c r="G103" s="92"/>
      <c r="H103" s="93"/>
    </row>
    <row r="104" spans="2:10" ht="18" customHeight="1">
      <c r="B104" s="90" t="s">
        <v>4955</v>
      </c>
      <c r="C104" s="91"/>
      <c r="D104" s="91">
        <f>D110+2</f>
        <v>97.938375350140063</v>
      </c>
      <c r="E104" s="90"/>
      <c r="F104" s="90" t="s">
        <v>4993</v>
      </c>
      <c r="G104" s="92">
        <f>C78/I104</f>
        <v>114.16666666666667</v>
      </c>
      <c r="H104" s="93">
        <v>0.6</v>
      </c>
      <c r="I104">
        <v>0.6</v>
      </c>
    </row>
    <row r="105" spans="2:10" ht="18" customHeight="1">
      <c r="B105" s="90" t="s">
        <v>4958</v>
      </c>
      <c r="C105" s="91"/>
      <c r="D105" s="91">
        <f>D111+2</f>
        <v>97.006934812760065</v>
      </c>
      <c r="E105" s="90"/>
      <c r="F105" s="90"/>
      <c r="G105" s="92"/>
      <c r="H105" s="93">
        <v>0.62</v>
      </c>
    </row>
    <row r="106" spans="2:10" ht="18" customHeight="1">
      <c r="B106" s="90" t="s">
        <v>4960</v>
      </c>
      <c r="C106" s="91"/>
      <c r="D106" s="91">
        <f>D112+2</f>
        <v>95.579234972677597</v>
      </c>
      <c r="E106" s="90"/>
      <c r="F106" s="90" t="s">
        <v>3152</v>
      </c>
      <c r="G106" s="92">
        <v>3</v>
      </c>
      <c r="H106" s="93">
        <v>0.65</v>
      </c>
    </row>
    <row r="107" spans="2:10" ht="18" customHeight="1">
      <c r="B107" s="90" t="s">
        <v>4994</v>
      </c>
      <c r="C107" s="91"/>
      <c r="D107" s="91">
        <f>D113+2</f>
        <v>91.659685863874344</v>
      </c>
      <c r="E107" s="90"/>
      <c r="F107" s="90" t="s">
        <v>4995</v>
      </c>
      <c r="G107" s="92">
        <v>2</v>
      </c>
      <c r="H107" s="93">
        <v>0.68500000000000005</v>
      </c>
    </row>
    <row r="108" spans="2:10" ht="18" customHeight="1">
      <c r="B108" s="90"/>
      <c r="C108" s="91"/>
      <c r="D108" s="91"/>
      <c r="E108" s="90"/>
      <c r="F108" s="90"/>
      <c r="G108" s="92"/>
      <c r="H108" s="93"/>
    </row>
    <row r="109" spans="2:10" ht="18" customHeight="1">
      <c r="B109" s="90" t="s">
        <v>4952</v>
      </c>
      <c r="C109" s="91"/>
      <c r="D109" s="91"/>
      <c r="E109" s="90"/>
      <c r="F109" s="90" t="s">
        <v>4953</v>
      </c>
      <c r="G109" s="92"/>
      <c r="H109" s="93"/>
    </row>
    <row r="110" spans="2:10" ht="18" customHeight="1">
      <c r="B110" s="90" t="s">
        <v>4955</v>
      </c>
      <c r="C110" s="91"/>
      <c r="D110" s="91">
        <f>C78/H110</f>
        <v>95.938375350140063</v>
      </c>
      <c r="E110" s="90"/>
      <c r="F110" s="90" t="s">
        <v>4956</v>
      </c>
      <c r="G110" s="92">
        <f>C78/I110</f>
        <v>106.69781931464175</v>
      </c>
      <c r="H110" s="93">
        <v>0.71399999999999997</v>
      </c>
      <c r="I110">
        <v>0.64200000000000002</v>
      </c>
    </row>
    <row r="111" spans="2:10" ht="18" customHeight="1">
      <c r="B111" s="90" t="s">
        <v>4958</v>
      </c>
      <c r="C111" s="91"/>
      <c r="D111" s="91">
        <f>C78/H111</f>
        <v>95.006934812760065</v>
      </c>
      <c r="E111" s="90"/>
      <c r="F111" s="90" t="s">
        <v>4959</v>
      </c>
      <c r="G111" s="92">
        <f>C78/I111</f>
        <v>105.87326120556413</v>
      </c>
      <c r="H111" s="93">
        <v>0.72099999999999997</v>
      </c>
      <c r="I111">
        <v>0.64700000000000002</v>
      </c>
    </row>
    <row r="112" spans="2:10" ht="18" customHeight="1">
      <c r="B112" s="90" t="s">
        <v>4960</v>
      </c>
      <c r="C112" s="91"/>
      <c r="D112" s="91">
        <f>C78/H112</f>
        <v>93.579234972677597</v>
      </c>
      <c r="E112" s="90"/>
      <c r="F112" s="90" t="s">
        <v>4961</v>
      </c>
      <c r="G112" s="92">
        <f>C78/I112</f>
        <v>103.16265060240963</v>
      </c>
      <c r="H112" s="93">
        <v>0.73199999999999998</v>
      </c>
      <c r="I112">
        <v>0.66400000000000003</v>
      </c>
    </row>
    <row r="113" spans="2:9" ht="18" customHeight="1">
      <c r="B113" s="90" t="s">
        <v>4962</v>
      </c>
      <c r="C113" s="91"/>
      <c r="D113" s="91">
        <f>C78/H113</f>
        <v>89.659685863874344</v>
      </c>
      <c r="E113" s="90"/>
      <c r="F113" s="90" t="s">
        <v>4962</v>
      </c>
      <c r="G113" s="92">
        <f>C78/I113</f>
        <v>97.717546362339519</v>
      </c>
      <c r="H113" s="93">
        <v>0.76400000000000001</v>
      </c>
      <c r="I113">
        <v>0.70099999999999996</v>
      </c>
    </row>
    <row r="114" spans="2:9">
      <c r="C114" s="80"/>
      <c r="G114" s="81"/>
      <c r="H114" s="82"/>
    </row>
    <row r="115" spans="2:9" ht="18" customHeight="1">
      <c r="B115" s="90" t="s">
        <v>4963</v>
      </c>
      <c r="C115" s="80"/>
      <c r="D115" s="90" t="s">
        <v>4964</v>
      </c>
      <c r="G115" s="81"/>
      <c r="H115" s="82"/>
    </row>
    <row r="116" spans="2:9" ht="18" customHeight="1">
      <c r="B116" s="90"/>
      <c r="C116" s="80"/>
      <c r="D116" s="94"/>
      <c r="G116" s="81"/>
      <c r="H116" s="82"/>
    </row>
    <row r="117" spans="2:9" ht="18" customHeight="1">
      <c r="B117" s="90"/>
      <c r="C117" s="80"/>
      <c r="D117" s="94"/>
      <c r="G117" s="81"/>
      <c r="H117" s="82"/>
    </row>
  </sheetData>
  <mergeCells count="1"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7D0C-5832-47F6-B35D-863FE3514F0D}">
  <dimension ref="A1:K1740"/>
  <sheetViews>
    <sheetView topLeftCell="A1257" workbookViewId="0">
      <selection activeCell="D20" sqref="D20"/>
    </sheetView>
  </sheetViews>
  <sheetFormatPr defaultRowHeight="15"/>
  <cols>
    <col min="1" max="1" width="14.140625" customWidth="1"/>
    <col min="2" max="2" width="48.5703125" customWidth="1"/>
    <col min="3" max="3" width="19.7109375" customWidth="1"/>
    <col min="4" max="4" width="9.140625" style="96"/>
    <col min="7" max="7" width="18.85546875" customWidth="1"/>
    <col min="9" max="9" width="17" customWidth="1"/>
  </cols>
  <sheetData>
    <row r="1" spans="1:11">
      <c r="A1" t="s">
        <v>0</v>
      </c>
      <c r="B1" t="s">
        <v>1</v>
      </c>
      <c r="C1" t="s">
        <v>3</v>
      </c>
      <c r="D1" s="96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76</v>
      </c>
      <c r="B2" t="s">
        <v>4181</v>
      </c>
      <c r="C2" t="s">
        <v>4182</v>
      </c>
      <c r="D2" s="95">
        <f>Prices!$J$13+3</f>
        <v>191.40816326530611</v>
      </c>
      <c r="F2">
        <v>11.53</v>
      </c>
      <c r="G2" t="s">
        <v>4183</v>
      </c>
      <c r="H2" t="s">
        <v>12</v>
      </c>
      <c r="I2" t="s">
        <v>4182</v>
      </c>
      <c r="J2" t="s">
        <v>1610</v>
      </c>
    </row>
    <row r="3" spans="1:11">
      <c r="A3" t="s">
        <v>76</v>
      </c>
      <c r="B3" t="s">
        <v>3252</v>
      </c>
      <c r="C3" t="s">
        <v>3109</v>
      </c>
      <c r="D3" s="95">
        <f>Prices!$J$13+3</f>
        <v>191.40816326530611</v>
      </c>
      <c r="F3">
        <v>136.62</v>
      </c>
      <c r="G3" t="s">
        <v>3110</v>
      </c>
      <c r="H3" t="s">
        <v>12</v>
      </c>
      <c r="I3" t="s">
        <v>3109</v>
      </c>
      <c r="J3" t="s">
        <v>1610</v>
      </c>
    </row>
    <row r="4" spans="1:11">
      <c r="A4" t="s">
        <v>76</v>
      </c>
      <c r="B4" t="s">
        <v>3791</v>
      </c>
      <c r="C4" t="s">
        <v>3792</v>
      </c>
      <c r="D4" s="95">
        <f>Prices!$J$23</f>
        <v>196.42553191489361</v>
      </c>
      <c r="F4">
        <v>50.41</v>
      </c>
      <c r="G4" t="s">
        <v>3793</v>
      </c>
      <c r="H4" t="s">
        <v>12</v>
      </c>
      <c r="I4" t="s">
        <v>3792</v>
      </c>
      <c r="J4" t="s">
        <v>1610</v>
      </c>
      <c r="K4" t="s">
        <v>3794</v>
      </c>
    </row>
    <row r="5" spans="1:11">
      <c r="A5" t="s">
        <v>76</v>
      </c>
      <c r="B5" t="s">
        <v>2320</v>
      </c>
      <c r="C5" t="s">
        <v>2321</v>
      </c>
      <c r="D5" s="95">
        <f>Prices!$J$23</f>
        <v>196.42553191489361</v>
      </c>
      <c r="F5">
        <v>0.51</v>
      </c>
      <c r="G5" t="s">
        <v>2322</v>
      </c>
      <c r="H5" t="s">
        <v>12</v>
      </c>
      <c r="I5" t="s">
        <v>2321</v>
      </c>
      <c r="J5" t="s">
        <v>1610</v>
      </c>
      <c r="K5" t="s">
        <v>2323</v>
      </c>
    </row>
    <row r="6" spans="1:11">
      <c r="A6" t="s">
        <v>76</v>
      </c>
      <c r="B6" t="s">
        <v>2324</v>
      </c>
      <c r="C6" t="s">
        <v>2325</v>
      </c>
      <c r="D6" s="95">
        <f>Prices!$J$23</f>
        <v>196.42553191489361</v>
      </c>
      <c r="F6">
        <v>6.68</v>
      </c>
      <c r="G6" t="s">
        <v>2326</v>
      </c>
      <c r="H6" t="s">
        <v>12</v>
      </c>
      <c r="I6" t="s">
        <v>2325</v>
      </c>
      <c r="J6" t="s">
        <v>1610</v>
      </c>
      <c r="K6" t="s">
        <v>2323</v>
      </c>
    </row>
    <row r="7" spans="1:11">
      <c r="A7" t="s">
        <v>76</v>
      </c>
      <c r="B7" t="s">
        <v>3551</v>
      </c>
      <c r="C7" t="s">
        <v>3552</v>
      </c>
      <c r="D7" s="95">
        <f>Prices!$J$23</f>
        <v>196.42553191489361</v>
      </c>
      <c r="F7">
        <v>2.19</v>
      </c>
      <c r="G7" t="s">
        <v>3553</v>
      </c>
      <c r="H7" t="s">
        <v>12</v>
      </c>
      <c r="I7" t="s">
        <v>3552</v>
      </c>
      <c r="J7" t="s">
        <v>1610</v>
      </c>
    </row>
    <row r="8" spans="1:11">
      <c r="A8" t="s">
        <v>76</v>
      </c>
      <c r="B8" t="s">
        <v>4038</v>
      </c>
      <c r="C8" t="s">
        <v>4039</v>
      </c>
      <c r="D8" s="95">
        <f>Prices!$J$23</f>
        <v>196.42553191489361</v>
      </c>
      <c r="F8">
        <v>37.67</v>
      </c>
      <c r="G8" t="s">
        <v>4040</v>
      </c>
      <c r="H8" t="s">
        <v>12</v>
      </c>
      <c r="I8" t="s">
        <v>4039</v>
      </c>
      <c r="J8" t="s">
        <v>1610</v>
      </c>
      <c r="K8" t="s">
        <v>4041</v>
      </c>
    </row>
    <row r="9" spans="1:11">
      <c r="A9" t="s">
        <v>10</v>
      </c>
      <c r="B9" t="s">
        <v>4010</v>
      </c>
      <c r="C9" t="s">
        <v>4011</v>
      </c>
      <c r="D9" s="95">
        <f>Prices!$J$21</f>
        <v>192.33333333333334</v>
      </c>
      <c r="F9">
        <v>12.82</v>
      </c>
      <c r="G9" t="s">
        <v>4012</v>
      </c>
      <c r="H9" t="s">
        <v>12</v>
      </c>
      <c r="I9" t="s">
        <v>4011</v>
      </c>
      <c r="J9" t="s">
        <v>1610</v>
      </c>
      <c r="K9" t="s">
        <v>4013</v>
      </c>
    </row>
    <row r="10" spans="1:11">
      <c r="A10" t="s">
        <v>10</v>
      </c>
      <c r="B10" t="s">
        <v>206</v>
      </c>
      <c r="C10" t="s">
        <v>207</v>
      </c>
      <c r="D10" s="95">
        <f>Prices!$J$21</f>
        <v>192.33333333333334</v>
      </c>
      <c r="F10">
        <v>0</v>
      </c>
      <c r="G10" t="s">
        <v>208</v>
      </c>
      <c r="I10" t="s">
        <v>207</v>
      </c>
      <c r="J10" t="s">
        <v>13</v>
      </c>
    </row>
    <row r="11" spans="1:11">
      <c r="A11" t="s">
        <v>10</v>
      </c>
      <c r="B11" t="s">
        <v>681</v>
      </c>
      <c r="C11" t="s">
        <v>682</v>
      </c>
      <c r="D11" s="95">
        <f>Prices!$J$21</f>
        <v>192.33333333333334</v>
      </c>
      <c r="F11">
        <v>0</v>
      </c>
      <c r="G11" t="s">
        <v>683</v>
      </c>
      <c r="I11" t="s">
        <v>682</v>
      </c>
      <c r="J11" t="s">
        <v>13</v>
      </c>
    </row>
    <row r="12" spans="1:11">
      <c r="A12" t="s">
        <v>10</v>
      </c>
      <c r="B12" t="s">
        <v>2856</v>
      </c>
      <c r="C12" t="s">
        <v>2857</v>
      </c>
      <c r="D12" s="95">
        <f>Prices!$J$21</f>
        <v>192.33333333333334</v>
      </c>
      <c r="F12">
        <v>11.26</v>
      </c>
      <c r="G12" t="s">
        <v>2858</v>
      </c>
      <c r="H12" t="s">
        <v>12</v>
      </c>
      <c r="I12" t="s">
        <v>2857</v>
      </c>
      <c r="J12" t="s">
        <v>1610</v>
      </c>
    </row>
    <row r="13" spans="1:11">
      <c r="A13" t="s">
        <v>10</v>
      </c>
      <c r="B13" t="s">
        <v>4267</v>
      </c>
      <c r="C13" t="s">
        <v>4268</v>
      </c>
      <c r="D13" s="95">
        <f>Prices!$J$21</f>
        <v>192.33333333333334</v>
      </c>
      <c r="F13">
        <v>32.85</v>
      </c>
      <c r="G13" t="s">
        <v>4269</v>
      </c>
      <c r="H13" t="s">
        <v>12</v>
      </c>
      <c r="I13" t="s">
        <v>4268</v>
      </c>
      <c r="J13" t="s">
        <v>1610</v>
      </c>
    </row>
    <row r="14" spans="1:11">
      <c r="A14" t="s">
        <v>10</v>
      </c>
      <c r="B14" t="s">
        <v>2410</v>
      </c>
      <c r="C14" t="s">
        <v>2411</v>
      </c>
      <c r="D14" s="95">
        <f>Prices!$J$21</f>
        <v>192.33333333333334</v>
      </c>
      <c r="F14">
        <v>35.130000000000003</v>
      </c>
      <c r="G14" t="s">
        <v>2412</v>
      </c>
      <c r="H14" t="s">
        <v>12</v>
      </c>
      <c r="I14" t="s">
        <v>2411</v>
      </c>
      <c r="J14" t="s">
        <v>1610</v>
      </c>
      <c r="K14" t="s">
        <v>2186</v>
      </c>
    </row>
    <row r="15" spans="1:11">
      <c r="A15" t="s">
        <v>10</v>
      </c>
      <c r="B15" t="s">
        <v>1827</v>
      </c>
      <c r="C15" t="s">
        <v>1828</v>
      </c>
      <c r="D15" s="95">
        <f>Prices!$J$21</f>
        <v>192.33333333333334</v>
      </c>
      <c r="F15">
        <v>42.82</v>
      </c>
      <c r="G15" t="s">
        <v>1829</v>
      </c>
      <c r="H15" t="s">
        <v>12</v>
      </c>
      <c r="I15" t="s">
        <v>1828</v>
      </c>
      <c r="J15" t="s">
        <v>1610</v>
      </c>
      <c r="K15" t="s">
        <v>1830</v>
      </c>
    </row>
    <row r="16" spans="1:11">
      <c r="A16" t="s">
        <v>10</v>
      </c>
      <c r="B16" t="s">
        <v>4337</v>
      </c>
      <c r="C16" t="s">
        <v>4338</v>
      </c>
      <c r="D16" s="95">
        <f>Prices!$J$21</f>
        <v>192.33333333333334</v>
      </c>
      <c r="F16">
        <v>26.11</v>
      </c>
      <c r="G16" t="s">
        <v>4339</v>
      </c>
      <c r="H16" t="s">
        <v>12</v>
      </c>
      <c r="I16" t="s">
        <v>4338</v>
      </c>
      <c r="J16" t="s">
        <v>1610</v>
      </c>
      <c r="K16" t="s">
        <v>4340</v>
      </c>
    </row>
    <row r="17" spans="1:11" ht="29.25" customHeight="1">
      <c r="A17" t="s">
        <v>10</v>
      </c>
      <c r="B17" t="s">
        <v>3667</v>
      </c>
      <c r="C17" t="s">
        <v>3668</v>
      </c>
      <c r="D17" s="95">
        <f>Prices!$J$21</f>
        <v>192.33333333333334</v>
      </c>
      <c r="F17">
        <v>15.84</v>
      </c>
      <c r="G17" t="s">
        <v>3669</v>
      </c>
      <c r="H17" t="s">
        <v>12</v>
      </c>
      <c r="I17" t="s">
        <v>3668</v>
      </c>
      <c r="J17" t="s">
        <v>1610</v>
      </c>
      <c r="K17" t="s">
        <v>2539</v>
      </c>
    </row>
    <row r="18" spans="1:11">
      <c r="A18" t="s">
        <v>10</v>
      </c>
      <c r="B18" t="s">
        <v>4276</v>
      </c>
      <c r="C18" t="s">
        <v>4277</v>
      </c>
      <c r="D18" s="95">
        <f>Prices!$J$21</f>
        <v>192.33333333333334</v>
      </c>
      <c r="F18">
        <v>11.49</v>
      </c>
      <c r="G18" t="s">
        <v>4278</v>
      </c>
      <c r="H18" t="s">
        <v>12</v>
      </c>
      <c r="I18" t="s">
        <v>4277</v>
      </c>
      <c r="J18" t="s">
        <v>1610</v>
      </c>
    </row>
    <row r="19" spans="1:11">
      <c r="A19" t="s">
        <v>10</v>
      </c>
      <c r="B19" t="s">
        <v>4128</v>
      </c>
      <c r="C19" t="s">
        <v>4129</v>
      </c>
      <c r="D19" s="95">
        <f>Prices!$J$21</f>
        <v>192.33333333333334</v>
      </c>
      <c r="F19">
        <v>15.88</v>
      </c>
      <c r="G19" t="s">
        <v>4130</v>
      </c>
      <c r="H19" t="s">
        <v>12</v>
      </c>
      <c r="I19" t="s">
        <v>4129</v>
      </c>
      <c r="J19" t="s">
        <v>1610</v>
      </c>
      <c r="K19" t="s">
        <v>2539</v>
      </c>
    </row>
    <row r="20" spans="1:11">
      <c r="A20" t="s">
        <v>10</v>
      </c>
      <c r="B20" t="s">
        <v>2533</v>
      </c>
      <c r="C20" t="s">
        <v>2534</v>
      </c>
      <c r="D20" s="95">
        <f>Prices!$J$21</f>
        <v>192.33333333333334</v>
      </c>
      <c r="F20">
        <v>28.9</v>
      </c>
      <c r="G20" t="s">
        <v>2535</v>
      </c>
      <c r="H20" t="s">
        <v>12</v>
      </c>
      <c r="I20" t="s">
        <v>2534</v>
      </c>
      <c r="J20" t="s">
        <v>1610</v>
      </c>
    </row>
    <row r="21" spans="1:11">
      <c r="A21" t="s">
        <v>10</v>
      </c>
      <c r="B21" t="s">
        <v>3601</v>
      </c>
      <c r="C21" t="s">
        <v>3602</v>
      </c>
      <c r="D21" s="95">
        <f>Prices!$J$15</f>
        <v>190.74380165289256</v>
      </c>
      <c r="F21">
        <v>83.01</v>
      </c>
      <c r="G21" t="s">
        <v>3603</v>
      </c>
      <c r="H21" t="s">
        <v>12</v>
      </c>
      <c r="I21" t="s">
        <v>3602</v>
      </c>
      <c r="J21" t="s">
        <v>1610</v>
      </c>
    </row>
    <row r="22" spans="1:11">
      <c r="A22" t="s">
        <v>10</v>
      </c>
      <c r="B22" t="s">
        <v>3434</v>
      </c>
      <c r="C22" t="s">
        <v>3435</v>
      </c>
      <c r="D22" s="95">
        <f>Prices!$J$15</f>
        <v>190.74380165289256</v>
      </c>
      <c r="F22">
        <v>26.7</v>
      </c>
      <c r="G22" t="s">
        <v>3436</v>
      </c>
      <c r="H22" t="s">
        <v>12</v>
      </c>
      <c r="I22" t="s">
        <v>3435</v>
      </c>
      <c r="J22" t="s">
        <v>1610</v>
      </c>
    </row>
    <row r="23" spans="1:11">
      <c r="A23" t="s">
        <v>1096</v>
      </c>
      <c r="B23" t="s">
        <v>2885</v>
      </c>
      <c r="C23" t="s">
        <v>2886</v>
      </c>
      <c r="D23" s="95">
        <f>Prices!$J$15</f>
        <v>190.74380165289256</v>
      </c>
      <c r="F23">
        <v>4.5599999999999996</v>
      </c>
      <c r="G23" t="s">
        <v>3570</v>
      </c>
      <c r="H23" t="s">
        <v>12</v>
      </c>
      <c r="I23" t="s">
        <v>2886</v>
      </c>
      <c r="J23" t="s">
        <v>1610</v>
      </c>
      <c r="K23" t="s">
        <v>3571</v>
      </c>
    </row>
    <row r="24" spans="1:11">
      <c r="A24" t="s">
        <v>76</v>
      </c>
      <c r="B24" t="s">
        <v>2167</v>
      </c>
      <c r="C24" t="s">
        <v>2168</v>
      </c>
      <c r="D24" s="95">
        <f>Prices!$J$23</f>
        <v>196.42553191489361</v>
      </c>
      <c r="F24">
        <v>110.11</v>
      </c>
      <c r="G24" t="s">
        <v>2169</v>
      </c>
      <c r="H24" t="s">
        <v>12</v>
      </c>
      <c r="I24" t="s">
        <v>2168</v>
      </c>
      <c r="J24" t="s">
        <v>1610</v>
      </c>
      <c r="K24" t="s">
        <v>2170</v>
      </c>
    </row>
    <row r="25" spans="1:11">
      <c r="A25" t="s">
        <v>76</v>
      </c>
      <c r="B25" t="s">
        <v>2836</v>
      </c>
      <c r="C25" t="s">
        <v>2837</v>
      </c>
      <c r="D25" s="95">
        <f>Prices!$J$23</f>
        <v>196.42553191489361</v>
      </c>
      <c r="F25">
        <v>40.65</v>
      </c>
      <c r="G25" t="s">
        <v>2838</v>
      </c>
      <c r="H25" t="s">
        <v>12</v>
      </c>
      <c r="I25" t="s">
        <v>2837</v>
      </c>
      <c r="J25" t="s">
        <v>1610</v>
      </c>
      <c r="K25" t="s">
        <v>2323</v>
      </c>
    </row>
    <row r="26" spans="1:11">
      <c r="A26" t="s">
        <v>76</v>
      </c>
      <c r="B26" t="s">
        <v>3286</v>
      </c>
      <c r="C26" t="s">
        <v>3287</v>
      </c>
      <c r="D26" s="95">
        <f>Prices!$J$23</f>
        <v>196.42553191489361</v>
      </c>
      <c r="F26">
        <v>0</v>
      </c>
      <c r="G26" t="s">
        <v>3288</v>
      </c>
      <c r="I26" t="s">
        <v>3287</v>
      </c>
      <c r="J26" t="s">
        <v>1610</v>
      </c>
      <c r="K26" t="s">
        <v>3289</v>
      </c>
    </row>
    <row r="27" spans="1:11">
      <c r="A27" t="s">
        <v>76</v>
      </c>
      <c r="B27" t="s">
        <v>2265</v>
      </c>
      <c r="C27" t="s">
        <v>2266</v>
      </c>
      <c r="D27" s="95">
        <f>Prices!$J$23</f>
        <v>196.42553191489361</v>
      </c>
      <c r="F27">
        <v>127.61</v>
      </c>
      <c r="G27" t="s">
        <v>2267</v>
      </c>
      <c r="H27" t="s">
        <v>12</v>
      </c>
      <c r="I27" t="s">
        <v>2266</v>
      </c>
      <c r="J27" t="s">
        <v>1610</v>
      </c>
      <c r="K27" t="s">
        <v>2268</v>
      </c>
    </row>
    <row r="28" spans="1:11">
      <c r="A28" t="s">
        <v>76</v>
      </c>
      <c r="B28" t="s">
        <v>2107</v>
      </c>
      <c r="C28" t="s">
        <v>2108</v>
      </c>
      <c r="D28" s="95">
        <f>Prices!$J$23</f>
        <v>196.42553191489361</v>
      </c>
      <c r="F28">
        <v>47.32</v>
      </c>
      <c r="G28" t="s">
        <v>2109</v>
      </c>
      <c r="H28" t="s">
        <v>12</v>
      </c>
      <c r="I28" t="s">
        <v>2108</v>
      </c>
      <c r="J28" t="s">
        <v>1610</v>
      </c>
      <c r="K28" t="s">
        <v>2110</v>
      </c>
    </row>
    <row r="29" spans="1:11">
      <c r="A29" t="s">
        <v>10</v>
      </c>
      <c r="B29" t="s">
        <v>3843</v>
      </c>
      <c r="C29" t="s">
        <v>3844</v>
      </c>
      <c r="D29" s="95">
        <f>Prices!$J$15</f>
        <v>190.74380165289256</v>
      </c>
      <c r="F29">
        <v>10.8</v>
      </c>
      <c r="G29" t="s">
        <v>3845</v>
      </c>
      <c r="H29" t="s">
        <v>12</v>
      </c>
      <c r="I29" t="s">
        <v>3844</v>
      </c>
      <c r="J29" t="s">
        <v>1610</v>
      </c>
      <c r="K29" t="s">
        <v>2670</v>
      </c>
    </row>
    <row r="30" spans="1:11">
      <c r="A30" t="s">
        <v>76</v>
      </c>
      <c r="B30" t="s">
        <v>2123</v>
      </c>
      <c r="C30" t="s">
        <v>2124</v>
      </c>
      <c r="D30" s="95">
        <f>Prices!$J$25</f>
        <v>209.81818181818181</v>
      </c>
      <c r="F30">
        <v>3.07</v>
      </c>
      <c r="G30" t="s">
        <v>2125</v>
      </c>
      <c r="H30" t="s">
        <v>12</v>
      </c>
      <c r="I30" t="s">
        <v>2124</v>
      </c>
      <c r="J30" t="s">
        <v>1610</v>
      </c>
      <c r="K30" t="s">
        <v>2088</v>
      </c>
    </row>
    <row r="31" spans="1:11">
      <c r="A31" t="s">
        <v>10</v>
      </c>
      <c r="B31" t="s">
        <v>3738</v>
      </c>
      <c r="C31" t="s">
        <v>3739</v>
      </c>
      <c r="D31" s="95">
        <f>Prices!$J$15</f>
        <v>190.74380165289256</v>
      </c>
      <c r="F31">
        <v>25.37</v>
      </c>
      <c r="G31" t="s">
        <v>3740</v>
      </c>
      <c r="H31" t="s">
        <v>12</v>
      </c>
      <c r="I31" t="s">
        <v>3739</v>
      </c>
      <c r="J31" t="s">
        <v>1610</v>
      </c>
    </row>
    <row r="32" spans="1:11">
      <c r="A32" t="s">
        <v>10</v>
      </c>
      <c r="B32" t="s">
        <v>3994</v>
      </c>
      <c r="C32" t="s">
        <v>3995</v>
      </c>
      <c r="D32" s="95">
        <f>Prices!$J$15</f>
        <v>190.74380165289256</v>
      </c>
      <c r="F32">
        <v>38.659999999999997</v>
      </c>
      <c r="G32" t="s">
        <v>3996</v>
      </c>
      <c r="H32" t="s">
        <v>12</v>
      </c>
      <c r="I32" t="s">
        <v>3995</v>
      </c>
      <c r="J32" t="s">
        <v>1610</v>
      </c>
      <c r="K32" t="s">
        <v>2670</v>
      </c>
    </row>
    <row r="33" spans="1:11">
      <c r="A33" t="s">
        <v>10</v>
      </c>
      <c r="B33" t="s">
        <v>4202</v>
      </c>
      <c r="C33" t="s">
        <v>4203</v>
      </c>
      <c r="D33" s="95">
        <f>Prices!$J$25</f>
        <v>209.81818181818181</v>
      </c>
      <c r="F33">
        <v>14.02</v>
      </c>
      <c r="G33" t="s">
        <v>4204</v>
      </c>
      <c r="H33" t="s">
        <v>12</v>
      </c>
      <c r="I33" t="s">
        <v>4203</v>
      </c>
      <c r="J33" t="s">
        <v>1610</v>
      </c>
      <c r="K33" t="s">
        <v>3232</v>
      </c>
    </row>
    <row r="34" spans="1:11">
      <c r="A34" t="s">
        <v>10</v>
      </c>
      <c r="B34" t="s">
        <v>3751</v>
      </c>
      <c r="C34" t="s">
        <v>3752</v>
      </c>
      <c r="D34" s="95">
        <f>Prices!$J$15</f>
        <v>190.74380165289256</v>
      </c>
      <c r="F34">
        <v>17.96</v>
      </c>
      <c r="G34" t="s">
        <v>3753</v>
      </c>
      <c r="H34" t="s">
        <v>12</v>
      </c>
      <c r="I34" t="s">
        <v>3752</v>
      </c>
      <c r="J34" t="s">
        <v>1610</v>
      </c>
      <c r="K34" t="s">
        <v>3754</v>
      </c>
    </row>
    <row r="35" spans="1:11">
      <c r="A35" t="s">
        <v>10</v>
      </c>
      <c r="B35" t="s">
        <v>3951</v>
      </c>
      <c r="C35" t="s">
        <v>3952</v>
      </c>
      <c r="D35" s="95">
        <f>Prices!$J$15</f>
        <v>190.74380165289256</v>
      </c>
      <c r="F35">
        <v>6.82</v>
      </c>
      <c r="G35" t="s">
        <v>3953</v>
      </c>
      <c r="H35" t="s">
        <v>12</v>
      </c>
      <c r="I35" t="s">
        <v>3952</v>
      </c>
      <c r="J35" t="s">
        <v>1610</v>
      </c>
    </row>
    <row r="36" spans="1:11">
      <c r="A36" t="s">
        <v>10</v>
      </c>
      <c r="B36" t="s">
        <v>4061</v>
      </c>
      <c r="C36" t="s">
        <v>4062</v>
      </c>
      <c r="D36" s="95">
        <f>Prices!$J$25</f>
        <v>209.81818181818181</v>
      </c>
      <c r="F36">
        <v>16.170000000000002</v>
      </c>
      <c r="G36" t="s">
        <v>4063</v>
      </c>
      <c r="H36" t="s">
        <v>12</v>
      </c>
      <c r="I36" t="s">
        <v>4062</v>
      </c>
      <c r="J36" t="s">
        <v>1610</v>
      </c>
      <c r="K36" t="s">
        <v>4064</v>
      </c>
    </row>
    <row r="37" spans="1:11">
      <c r="A37" t="s">
        <v>10</v>
      </c>
      <c r="B37" t="s">
        <v>3514</v>
      </c>
      <c r="C37" t="s">
        <v>3515</v>
      </c>
      <c r="D37" s="95">
        <f>Prices!$J$15</f>
        <v>190.74380165289256</v>
      </c>
      <c r="F37">
        <v>21.71</v>
      </c>
      <c r="G37" t="s">
        <v>3516</v>
      </c>
      <c r="H37" t="s">
        <v>12</v>
      </c>
      <c r="I37" t="s">
        <v>3515</v>
      </c>
      <c r="J37" t="s">
        <v>1610</v>
      </c>
    </row>
    <row r="38" spans="1:11">
      <c r="A38" t="s">
        <v>10</v>
      </c>
      <c r="B38" t="s">
        <v>3728</v>
      </c>
      <c r="C38" t="s">
        <v>3729</v>
      </c>
      <c r="D38" s="95">
        <f>Prices!$J$13+3</f>
        <v>191.40816326530611</v>
      </c>
      <c r="F38">
        <v>57.71</v>
      </c>
      <c r="G38" t="s">
        <v>3730</v>
      </c>
      <c r="H38" t="s">
        <v>12</v>
      </c>
      <c r="I38" t="s">
        <v>3729</v>
      </c>
      <c r="J38" t="s">
        <v>1610</v>
      </c>
    </row>
    <row r="39" spans="1:11" ht="30">
      <c r="A39" t="s">
        <v>10</v>
      </c>
      <c r="B39" s="1" t="s">
        <v>232</v>
      </c>
      <c r="C39" t="s">
        <v>233</v>
      </c>
      <c r="D39" s="95">
        <f>Prices!$J$13+3</f>
        <v>191.40816326530611</v>
      </c>
      <c r="F39">
        <v>46.74</v>
      </c>
      <c r="G39" t="s">
        <v>234</v>
      </c>
      <c r="H39" t="s">
        <v>12</v>
      </c>
      <c r="I39" t="s">
        <v>233</v>
      </c>
      <c r="J39" t="s">
        <v>13</v>
      </c>
    </row>
    <row r="40" spans="1:11">
      <c r="A40" t="s">
        <v>10</v>
      </c>
      <c r="B40" t="s">
        <v>3731</v>
      </c>
      <c r="C40" t="s">
        <v>3732</v>
      </c>
      <c r="D40" s="95">
        <f>Prices!$J$13+3</f>
        <v>191.40816326530611</v>
      </c>
      <c r="F40">
        <v>1.63</v>
      </c>
      <c r="G40" t="s">
        <v>3733</v>
      </c>
      <c r="H40" t="s">
        <v>12</v>
      </c>
      <c r="I40" t="s">
        <v>3732</v>
      </c>
      <c r="J40" t="s">
        <v>1610</v>
      </c>
    </row>
    <row r="41" spans="1:11">
      <c r="A41" t="s">
        <v>10</v>
      </c>
      <c r="B41" t="s">
        <v>3572</v>
      </c>
      <c r="C41" t="s">
        <v>3573</v>
      </c>
      <c r="D41" s="95">
        <f>Prices!$J$13+3</f>
        <v>191.40816326530611</v>
      </c>
      <c r="F41">
        <v>5.73</v>
      </c>
      <c r="G41" t="s">
        <v>3574</v>
      </c>
      <c r="H41" t="s">
        <v>12</v>
      </c>
      <c r="I41" t="s">
        <v>3573</v>
      </c>
      <c r="J41" t="s">
        <v>1610</v>
      </c>
      <c r="K41" t="s">
        <v>3575</v>
      </c>
    </row>
    <row r="42" spans="1:11">
      <c r="A42" t="s">
        <v>10</v>
      </c>
      <c r="B42" t="s">
        <v>3528</v>
      </c>
      <c r="C42" t="s">
        <v>3529</v>
      </c>
      <c r="D42" s="95">
        <f>Prices!$J$13+3</f>
        <v>191.40816326530611</v>
      </c>
      <c r="F42">
        <v>79.53</v>
      </c>
      <c r="G42" t="s">
        <v>3530</v>
      </c>
      <c r="H42" t="s">
        <v>12</v>
      </c>
      <c r="I42" t="s">
        <v>3529</v>
      </c>
      <c r="J42" t="s">
        <v>1610</v>
      </c>
      <c r="K42" t="s">
        <v>3531</v>
      </c>
    </row>
    <row r="43" spans="1:11">
      <c r="A43" t="s">
        <v>76</v>
      </c>
      <c r="B43" t="s">
        <v>2103</v>
      </c>
      <c r="C43" t="s">
        <v>2104</v>
      </c>
      <c r="D43" s="95">
        <f>Prices!$J$23</f>
        <v>196.42553191489361</v>
      </c>
      <c r="F43">
        <v>130.12</v>
      </c>
      <c r="G43" t="s">
        <v>2105</v>
      </c>
      <c r="H43" t="s">
        <v>12</v>
      </c>
      <c r="I43" t="s">
        <v>2104</v>
      </c>
      <c r="J43" t="s">
        <v>1610</v>
      </c>
      <c r="K43" t="s">
        <v>2106</v>
      </c>
    </row>
    <row r="44" spans="1:11">
      <c r="A44" t="s">
        <v>76</v>
      </c>
      <c r="B44" t="s">
        <v>2719</v>
      </c>
      <c r="C44" t="s">
        <v>2720</v>
      </c>
      <c r="D44" s="95">
        <f>Prices!$J$13</f>
        <v>188.40816326530611</v>
      </c>
      <c r="F44">
        <v>113.44</v>
      </c>
      <c r="G44" t="s">
        <v>2721</v>
      </c>
      <c r="H44" t="s">
        <v>12</v>
      </c>
      <c r="I44" t="s">
        <v>2720</v>
      </c>
      <c r="J44" t="s">
        <v>1610</v>
      </c>
      <c r="K44" t="s">
        <v>2722</v>
      </c>
    </row>
    <row r="45" spans="1:11">
      <c r="A45" t="s">
        <v>76</v>
      </c>
      <c r="B45" t="s">
        <v>3608</v>
      </c>
      <c r="C45" t="s">
        <v>3609</v>
      </c>
      <c r="D45" s="95">
        <f>Prices!$J$13</f>
        <v>188.40816326530611</v>
      </c>
      <c r="F45">
        <v>84.72</v>
      </c>
      <c r="G45" t="s">
        <v>3610</v>
      </c>
      <c r="H45" t="s">
        <v>12</v>
      </c>
      <c r="I45" t="s">
        <v>3609</v>
      </c>
      <c r="J45" t="s">
        <v>1610</v>
      </c>
      <c r="K45" t="s">
        <v>3611</v>
      </c>
    </row>
    <row r="46" spans="1:11">
      <c r="A46" t="s">
        <v>76</v>
      </c>
      <c r="B46" t="s">
        <v>2151</v>
      </c>
      <c r="C46" t="s">
        <v>2152</v>
      </c>
      <c r="D46" s="95">
        <f>Prices!$J$25</f>
        <v>209.81818181818181</v>
      </c>
      <c r="F46">
        <v>37.54</v>
      </c>
      <c r="G46" t="s">
        <v>2153</v>
      </c>
      <c r="H46" t="s">
        <v>12</v>
      </c>
      <c r="I46" t="s">
        <v>2152</v>
      </c>
      <c r="J46" t="s">
        <v>1610</v>
      </c>
      <c r="K46" t="s">
        <v>2154</v>
      </c>
    </row>
    <row r="47" spans="1:11">
      <c r="A47" t="s">
        <v>76</v>
      </c>
      <c r="B47" t="s">
        <v>2925</v>
      </c>
      <c r="C47" t="s">
        <v>2926</v>
      </c>
      <c r="D47" s="95">
        <f>Prices!$J$25</f>
        <v>209.81818181818181</v>
      </c>
      <c r="F47">
        <v>0</v>
      </c>
      <c r="G47" t="s">
        <v>2927</v>
      </c>
      <c r="I47" t="s">
        <v>2926</v>
      </c>
      <c r="J47" t="s">
        <v>1610</v>
      </c>
      <c r="K47" t="s">
        <v>2928</v>
      </c>
    </row>
    <row r="48" spans="1:11">
      <c r="A48" t="s">
        <v>76</v>
      </c>
      <c r="B48" t="s">
        <v>2049</v>
      </c>
      <c r="C48" t="s">
        <v>2050</v>
      </c>
      <c r="D48" s="95">
        <f>Prices!$J$25</f>
        <v>209.81818181818181</v>
      </c>
      <c r="F48">
        <v>183.21</v>
      </c>
      <c r="G48" t="s">
        <v>2051</v>
      </c>
      <c r="H48" t="s">
        <v>12</v>
      </c>
      <c r="I48" t="s">
        <v>2050</v>
      </c>
      <c r="J48" t="s">
        <v>1610</v>
      </c>
      <c r="K48" t="s">
        <v>2052</v>
      </c>
    </row>
    <row r="49" spans="1:11">
      <c r="A49" t="s">
        <v>76</v>
      </c>
      <c r="B49" t="s">
        <v>3626</v>
      </c>
      <c r="C49" t="s">
        <v>3627</v>
      </c>
      <c r="D49" s="95">
        <f>Prices!$J$13</f>
        <v>188.40816326530611</v>
      </c>
      <c r="F49">
        <v>81.180000000000007</v>
      </c>
      <c r="G49" t="s">
        <v>3628</v>
      </c>
      <c r="H49" t="s">
        <v>12</v>
      </c>
      <c r="I49" t="s">
        <v>3627</v>
      </c>
      <c r="J49" t="s">
        <v>1610</v>
      </c>
      <c r="K49" t="s">
        <v>3629</v>
      </c>
    </row>
    <row r="50" spans="1:11">
      <c r="A50" t="s">
        <v>10</v>
      </c>
      <c r="B50" t="s">
        <v>3511</v>
      </c>
      <c r="C50" t="s">
        <v>2658</v>
      </c>
      <c r="D50" s="95">
        <f>Prices!$J$13</f>
        <v>188.40816326530611</v>
      </c>
      <c r="F50">
        <v>22.95</v>
      </c>
      <c r="G50" t="s">
        <v>3512</v>
      </c>
      <c r="H50" t="s">
        <v>12</v>
      </c>
      <c r="I50" t="s">
        <v>2658</v>
      </c>
      <c r="J50" t="s">
        <v>1610</v>
      </c>
      <c r="K50" t="s">
        <v>3513</v>
      </c>
    </row>
    <row r="51" spans="1:11">
      <c r="A51" t="s">
        <v>76</v>
      </c>
      <c r="B51" t="s">
        <v>2053</v>
      </c>
      <c r="C51" t="s">
        <v>2054</v>
      </c>
      <c r="D51" s="95">
        <f>Prices!$J$25</f>
        <v>209.81818181818181</v>
      </c>
      <c r="F51">
        <v>287.77</v>
      </c>
      <c r="G51" t="s">
        <v>2055</v>
      </c>
      <c r="H51" t="s">
        <v>12</v>
      </c>
      <c r="I51" t="s">
        <v>2054</v>
      </c>
      <c r="J51" t="s">
        <v>1610</v>
      </c>
      <c r="K51" t="s">
        <v>2056</v>
      </c>
    </row>
    <row r="52" spans="1:11">
      <c r="A52" t="s">
        <v>10</v>
      </c>
      <c r="B52" t="s">
        <v>3586</v>
      </c>
      <c r="C52" t="s">
        <v>3587</v>
      </c>
      <c r="D52" s="95">
        <f>Prices!$J$15</f>
        <v>190.74380165289256</v>
      </c>
      <c r="F52">
        <v>82.1</v>
      </c>
      <c r="G52" t="s">
        <v>3588</v>
      </c>
      <c r="H52" t="s">
        <v>12</v>
      </c>
      <c r="I52" t="s">
        <v>3587</v>
      </c>
      <c r="J52" t="s">
        <v>1610</v>
      </c>
    </row>
    <row r="53" spans="1:11">
      <c r="A53" t="s">
        <v>10</v>
      </c>
      <c r="B53" t="s">
        <v>3865</v>
      </c>
      <c r="C53" t="s">
        <v>3866</v>
      </c>
      <c r="D53" s="95">
        <f>Prices!$J$15</f>
        <v>190.74380165289256</v>
      </c>
      <c r="F53">
        <v>11.03</v>
      </c>
      <c r="G53" t="s">
        <v>3867</v>
      </c>
      <c r="H53" t="s">
        <v>12</v>
      </c>
      <c r="I53" t="s">
        <v>3866</v>
      </c>
      <c r="J53" t="s">
        <v>1610</v>
      </c>
      <c r="K53" t="s">
        <v>2670</v>
      </c>
    </row>
    <row r="54" spans="1:11">
      <c r="A54" t="s">
        <v>76</v>
      </c>
      <c r="B54" t="s">
        <v>1688</v>
      </c>
      <c r="C54" t="s">
        <v>1689</v>
      </c>
      <c r="D54" s="95">
        <f>Prices!$J$17</f>
        <v>190.74380165289256</v>
      </c>
      <c r="F54">
        <v>80.569999999999993</v>
      </c>
      <c r="G54" t="s">
        <v>1690</v>
      </c>
      <c r="H54" t="s">
        <v>12</v>
      </c>
      <c r="I54" t="s">
        <v>1689</v>
      </c>
      <c r="J54" t="s">
        <v>1610</v>
      </c>
      <c r="K54" t="s">
        <v>1691</v>
      </c>
    </row>
    <row r="55" spans="1:11">
      <c r="A55" t="s">
        <v>76</v>
      </c>
      <c r="B55" t="s">
        <v>1684</v>
      </c>
      <c r="C55" t="s">
        <v>1685</v>
      </c>
      <c r="D55" s="95">
        <f>Prices!$J$17</f>
        <v>190.74380165289256</v>
      </c>
      <c r="F55">
        <v>169.56</v>
      </c>
      <c r="G55" t="s">
        <v>1686</v>
      </c>
      <c r="H55" t="s">
        <v>12</v>
      </c>
      <c r="I55" t="s">
        <v>1685</v>
      </c>
      <c r="J55" t="s">
        <v>1610</v>
      </c>
      <c r="K55" t="s">
        <v>1687</v>
      </c>
    </row>
    <row r="56" spans="1:11">
      <c r="A56" t="s">
        <v>76</v>
      </c>
      <c r="B56" t="s">
        <v>2057</v>
      </c>
      <c r="C56" t="s">
        <v>2058</v>
      </c>
      <c r="D56" s="95">
        <f>Prices!$J$23</f>
        <v>196.42553191489361</v>
      </c>
      <c r="F56">
        <v>182.11</v>
      </c>
      <c r="G56" t="s">
        <v>2059</v>
      </c>
      <c r="H56" t="s">
        <v>12</v>
      </c>
      <c r="I56" t="s">
        <v>2058</v>
      </c>
      <c r="J56" t="s">
        <v>1610</v>
      </c>
      <c r="K56" t="s">
        <v>2060</v>
      </c>
    </row>
    <row r="57" spans="1:11">
      <c r="A57" t="s">
        <v>10</v>
      </c>
      <c r="B57" t="s">
        <v>2501</v>
      </c>
      <c r="C57" t="s">
        <v>2502</v>
      </c>
      <c r="D57" s="95">
        <f>Prices!$J$13</f>
        <v>188.40816326530611</v>
      </c>
      <c r="F57">
        <v>28.13</v>
      </c>
      <c r="G57" t="s">
        <v>2503</v>
      </c>
      <c r="H57" t="s">
        <v>12</v>
      </c>
      <c r="I57" t="s">
        <v>2502</v>
      </c>
      <c r="J57" t="s">
        <v>1610</v>
      </c>
    </row>
    <row r="58" spans="1:11">
      <c r="A58" t="s">
        <v>1317</v>
      </c>
      <c r="B58" t="s">
        <v>2230</v>
      </c>
      <c r="C58" t="s">
        <v>2231</v>
      </c>
      <c r="D58" s="95">
        <f>Prices!$J$25</f>
        <v>209.81818181818181</v>
      </c>
      <c r="F58">
        <v>8.8699999999999992</v>
      </c>
      <c r="G58" t="s">
        <v>2232</v>
      </c>
      <c r="H58" t="s">
        <v>12</v>
      </c>
      <c r="I58" t="s">
        <v>2231</v>
      </c>
      <c r="J58" t="s">
        <v>1610</v>
      </c>
      <c r="K58" t="s">
        <v>2233</v>
      </c>
    </row>
    <row r="59" spans="1:11">
      <c r="A59" t="s">
        <v>10</v>
      </c>
      <c r="B59" t="s">
        <v>3781</v>
      </c>
      <c r="C59" t="s">
        <v>3782</v>
      </c>
      <c r="D59" s="95">
        <f>Prices!$J$15</f>
        <v>190.74380165289256</v>
      </c>
      <c r="F59">
        <v>32.47</v>
      </c>
      <c r="G59" t="s">
        <v>3783</v>
      </c>
      <c r="H59" t="s">
        <v>12</v>
      </c>
      <c r="I59" t="s">
        <v>3782</v>
      </c>
      <c r="J59" t="s">
        <v>1610</v>
      </c>
    </row>
    <row r="60" spans="1:11">
      <c r="A60" t="s">
        <v>10</v>
      </c>
      <c r="B60" t="s">
        <v>2743</v>
      </c>
      <c r="C60" t="s">
        <v>2744</v>
      </c>
      <c r="D60" s="95">
        <f>Prices!$J$15</f>
        <v>190.74380165289256</v>
      </c>
      <c r="F60">
        <v>30.5</v>
      </c>
      <c r="G60" t="s">
        <v>2745</v>
      </c>
      <c r="H60" t="s">
        <v>12</v>
      </c>
      <c r="I60" t="s">
        <v>2744</v>
      </c>
      <c r="J60" t="s">
        <v>1610</v>
      </c>
    </row>
    <row r="61" spans="1:11">
      <c r="A61" t="s">
        <v>10</v>
      </c>
      <c r="B61" t="s">
        <v>2712</v>
      </c>
      <c r="C61" t="s">
        <v>2713</v>
      </c>
      <c r="D61" s="95">
        <f>Prices!$J$15</f>
        <v>190.74380165289256</v>
      </c>
      <c r="F61">
        <v>61.33</v>
      </c>
      <c r="G61" t="s">
        <v>2714</v>
      </c>
      <c r="H61" t="s">
        <v>12</v>
      </c>
      <c r="I61" t="s">
        <v>2713</v>
      </c>
      <c r="J61" t="s">
        <v>1610</v>
      </c>
    </row>
    <row r="62" spans="1:11">
      <c r="A62" t="s">
        <v>10</v>
      </c>
      <c r="B62" t="s">
        <v>3833</v>
      </c>
      <c r="C62" t="s">
        <v>3834</v>
      </c>
      <c r="D62" s="95">
        <f>Prices!$J$15</f>
        <v>190.74380165289256</v>
      </c>
      <c r="F62">
        <v>25.33</v>
      </c>
      <c r="G62" t="s">
        <v>3835</v>
      </c>
      <c r="H62" t="s">
        <v>12</v>
      </c>
      <c r="I62" t="s">
        <v>3834</v>
      </c>
      <c r="J62" t="s">
        <v>1610</v>
      </c>
    </row>
    <row r="63" spans="1:11">
      <c r="A63" t="s">
        <v>10</v>
      </c>
      <c r="B63" t="s">
        <v>424</v>
      </c>
      <c r="C63" t="s">
        <v>425</v>
      </c>
      <c r="D63" s="95">
        <f>Prices!$J$13</f>
        <v>188.40816326530611</v>
      </c>
      <c r="F63">
        <v>0</v>
      </c>
      <c r="G63" t="s">
        <v>426</v>
      </c>
      <c r="I63" t="s">
        <v>425</v>
      </c>
      <c r="J63" t="s">
        <v>13</v>
      </c>
    </row>
    <row r="64" spans="1:11">
      <c r="A64" t="s">
        <v>10</v>
      </c>
      <c r="B64" t="s">
        <v>3481</v>
      </c>
      <c r="C64" t="s">
        <v>3482</v>
      </c>
      <c r="D64" s="95">
        <f>Prices!$J$33</f>
        <v>231.9597989949749</v>
      </c>
      <c r="F64">
        <v>8.2899999999999991</v>
      </c>
      <c r="G64" t="s">
        <v>3483</v>
      </c>
      <c r="H64" t="s">
        <v>12</v>
      </c>
      <c r="I64" t="s">
        <v>3482</v>
      </c>
      <c r="J64" t="s">
        <v>1610</v>
      </c>
    </row>
    <row r="65" spans="1:11">
      <c r="A65" t="s">
        <v>76</v>
      </c>
      <c r="B65" t="s">
        <v>2703</v>
      </c>
      <c r="C65" t="s">
        <v>2704</v>
      </c>
      <c r="D65" s="95">
        <f>Prices!$J$33</f>
        <v>231.9597989949749</v>
      </c>
      <c r="F65">
        <v>336.75</v>
      </c>
      <c r="G65" t="s">
        <v>2705</v>
      </c>
      <c r="H65" t="s">
        <v>12</v>
      </c>
      <c r="I65" t="s">
        <v>2704</v>
      </c>
      <c r="J65" t="s">
        <v>1610</v>
      </c>
      <c r="K65" t="s">
        <v>2706</v>
      </c>
    </row>
    <row r="66" spans="1:11">
      <c r="A66" t="s">
        <v>76</v>
      </c>
      <c r="B66" t="s">
        <v>3800</v>
      </c>
      <c r="C66" t="s">
        <v>3801</v>
      </c>
      <c r="D66" s="95">
        <f>Prices!$J$33</f>
        <v>231.9597989949749</v>
      </c>
      <c r="F66">
        <v>28.69</v>
      </c>
      <c r="G66" t="s">
        <v>3802</v>
      </c>
      <c r="H66" t="s">
        <v>12</v>
      </c>
      <c r="I66" t="s">
        <v>3801</v>
      </c>
      <c r="J66" t="s">
        <v>1610</v>
      </c>
      <c r="K66" t="s">
        <v>3803</v>
      </c>
    </row>
    <row r="67" spans="1:11">
      <c r="A67" t="s">
        <v>76</v>
      </c>
      <c r="B67" t="s">
        <v>672</v>
      </c>
      <c r="C67" t="s">
        <v>673</v>
      </c>
      <c r="D67" s="95">
        <f>Prices!$J$33</f>
        <v>231.9597989949749</v>
      </c>
      <c r="F67">
        <v>0</v>
      </c>
      <c r="G67" t="s">
        <v>674</v>
      </c>
      <c r="I67" t="s">
        <v>673</v>
      </c>
      <c r="J67" t="s">
        <v>13</v>
      </c>
      <c r="K67" t="s">
        <v>542</v>
      </c>
    </row>
    <row r="68" spans="1:11">
      <c r="A68" t="s">
        <v>76</v>
      </c>
      <c r="B68" t="s">
        <v>3870</v>
      </c>
      <c r="C68" t="s">
        <v>3871</v>
      </c>
      <c r="D68" s="95">
        <f>Prices!$J$33</f>
        <v>231.9597989949749</v>
      </c>
      <c r="F68">
        <v>13.78</v>
      </c>
      <c r="G68" t="s">
        <v>3872</v>
      </c>
      <c r="H68" t="s">
        <v>12</v>
      </c>
      <c r="I68" t="s">
        <v>3871</v>
      </c>
      <c r="J68" t="s">
        <v>1610</v>
      </c>
      <c r="K68" t="s">
        <v>3873</v>
      </c>
    </row>
    <row r="69" spans="1:11">
      <c r="A69" t="s">
        <v>76</v>
      </c>
      <c r="B69" t="s">
        <v>2327</v>
      </c>
      <c r="C69" t="s">
        <v>2328</v>
      </c>
      <c r="D69" s="95">
        <f>Prices!$J$37</f>
        <v>234.31472081218274</v>
      </c>
      <c r="F69">
        <v>109.69</v>
      </c>
      <c r="G69" t="s">
        <v>2329</v>
      </c>
      <c r="H69" t="s">
        <v>12</v>
      </c>
      <c r="I69" t="s">
        <v>2328</v>
      </c>
      <c r="J69" t="s">
        <v>1610</v>
      </c>
      <c r="K69" t="s">
        <v>2323</v>
      </c>
    </row>
    <row r="70" spans="1:11">
      <c r="A70" t="s">
        <v>10</v>
      </c>
      <c r="B70" t="s">
        <v>3115</v>
      </c>
      <c r="C70" t="s">
        <v>3116</v>
      </c>
      <c r="D70" s="95">
        <f>Prices!$J$37</f>
        <v>234.31472081218274</v>
      </c>
      <c r="F70">
        <v>0</v>
      </c>
      <c r="G70" t="s">
        <v>3117</v>
      </c>
      <c r="I70" t="s">
        <v>3116</v>
      </c>
      <c r="J70" t="s">
        <v>1610</v>
      </c>
    </row>
    <row r="71" spans="1:11">
      <c r="A71" t="s">
        <v>10</v>
      </c>
      <c r="B71" t="s">
        <v>4075</v>
      </c>
      <c r="C71" t="s">
        <v>4076</v>
      </c>
      <c r="D71" s="95">
        <f>Prices!$J$37</f>
        <v>234.31472081218274</v>
      </c>
      <c r="F71">
        <v>10.23</v>
      </c>
      <c r="G71" t="s">
        <v>4077</v>
      </c>
      <c r="H71" t="s">
        <v>12</v>
      </c>
      <c r="I71" t="s">
        <v>4076</v>
      </c>
      <c r="J71" t="s">
        <v>1610</v>
      </c>
      <c r="K71" t="s">
        <v>4078</v>
      </c>
    </row>
    <row r="72" spans="1:11">
      <c r="A72" t="s">
        <v>10</v>
      </c>
      <c r="B72" t="s">
        <v>2650</v>
      </c>
      <c r="C72" t="s">
        <v>2651</v>
      </c>
      <c r="D72" s="95">
        <f>Prices!$J$37</f>
        <v>234.31472081218274</v>
      </c>
      <c r="F72">
        <v>3.04</v>
      </c>
      <c r="G72" t="s">
        <v>2652</v>
      </c>
      <c r="H72" t="s">
        <v>12</v>
      </c>
      <c r="I72" t="s">
        <v>2651</v>
      </c>
      <c r="J72" t="s">
        <v>1610</v>
      </c>
      <c r="K72" t="s">
        <v>2653</v>
      </c>
    </row>
    <row r="73" spans="1:11">
      <c r="A73" t="s">
        <v>10</v>
      </c>
      <c r="B73" t="s">
        <v>3899</v>
      </c>
      <c r="C73" t="s">
        <v>3900</v>
      </c>
      <c r="D73" s="95">
        <f>Prices!$J$37</f>
        <v>234.31472081218274</v>
      </c>
      <c r="F73">
        <v>9.4700000000000006</v>
      </c>
      <c r="G73" t="s">
        <v>3901</v>
      </c>
      <c r="H73" t="s">
        <v>12</v>
      </c>
      <c r="I73" t="s">
        <v>3900</v>
      </c>
      <c r="J73" t="s">
        <v>1610</v>
      </c>
    </row>
    <row r="74" spans="1:11">
      <c r="A74" t="s">
        <v>10</v>
      </c>
      <c r="B74" t="s">
        <v>3984</v>
      </c>
      <c r="C74" t="s">
        <v>3985</v>
      </c>
      <c r="D74" s="95">
        <f>Prices!$J$37</f>
        <v>234.31472081218274</v>
      </c>
      <c r="F74">
        <v>15.14</v>
      </c>
      <c r="G74" t="s">
        <v>3986</v>
      </c>
      <c r="H74" t="s">
        <v>12</v>
      </c>
      <c r="I74" t="s">
        <v>3985</v>
      </c>
      <c r="J74" t="s">
        <v>1610</v>
      </c>
    </row>
    <row r="75" spans="1:11">
      <c r="A75" t="s">
        <v>10</v>
      </c>
      <c r="B75" t="s">
        <v>3942</v>
      </c>
      <c r="C75" t="s">
        <v>3943</v>
      </c>
      <c r="D75" s="95">
        <f>Prices!$J$37</f>
        <v>234.31472081218274</v>
      </c>
      <c r="F75">
        <v>13.62</v>
      </c>
      <c r="G75" t="s">
        <v>3944</v>
      </c>
      <c r="H75" t="s">
        <v>12</v>
      </c>
      <c r="I75" t="s">
        <v>3943</v>
      </c>
      <c r="J75" t="s">
        <v>1610</v>
      </c>
    </row>
    <row r="76" spans="1:11">
      <c r="A76" t="s">
        <v>10</v>
      </c>
      <c r="B76" t="s">
        <v>4137</v>
      </c>
      <c r="C76" t="s">
        <v>4138</v>
      </c>
      <c r="D76" s="95">
        <f>Prices!$J$37</f>
        <v>234.31472081218274</v>
      </c>
      <c r="F76">
        <v>15.82</v>
      </c>
      <c r="G76" t="s">
        <v>4139</v>
      </c>
      <c r="H76" t="s">
        <v>12</v>
      </c>
      <c r="I76" t="s">
        <v>4138</v>
      </c>
      <c r="J76" t="s">
        <v>1610</v>
      </c>
    </row>
    <row r="77" spans="1:11" ht="30">
      <c r="A77" t="s">
        <v>76</v>
      </c>
      <c r="B77" s="1" t="s">
        <v>3102</v>
      </c>
      <c r="C77" t="s">
        <v>3103</v>
      </c>
      <c r="D77" s="95">
        <f>Prices!$J$37</f>
        <v>234.31472081218274</v>
      </c>
      <c r="F77">
        <v>0</v>
      </c>
      <c r="G77" t="s">
        <v>3104</v>
      </c>
      <c r="I77" t="s">
        <v>3103</v>
      </c>
      <c r="J77" t="s">
        <v>1610</v>
      </c>
      <c r="K77" t="s">
        <v>2088</v>
      </c>
    </row>
    <row r="78" spans="1:11">
      <c r="A78" t="s">
        <v>10</v>
      </c>
      <c r="B78" t="s">
        <v>2640</v>
      </c>
      <c r="C78" t="s">
        <v>2641</v>
      </c>
      <c r="D78" s="95">
        <f>Prices!$J$13</f>
        <v>188.40816326530611</v>
      </c>
      <c r="F78">
        <v>18.78</v>
      </c>
      <c r="G78" t="s">
        <v>3580</v>
      </c>
      <c r="H78" t="s">
        <v>12</v>
      </c>
      <c r="I78" t="s">
        <v>2641</v>
      </c>
      <c r="J78" t="s">
        <v>1610</v>
      </c>
    </row>
    <row r="79" spans="1:11" ht="45">
      <c r="A79" t="s">
        <v>76</v>
      </c>
      <c r="B79" s="1" t="s">
        <v>2171</v>
      </c>
      <c r="C79" t="s">
        <v>2172</v>
      </c>
      <c r="D79" s="95">
        <f>Prices!$J$37</f>
        <v>234.31472081218274</v>
      </c>
      <c r="F79">
        <v>44.08</v>
      </c>
      <c r="G79" t="s">
        <v>2173</v>
      </c>
      <c r="H79" t="s">
        <v>12</v>
      </c>
      <c r="I79" t="s">
        <v>2172</v>
      </c>
      <c r="J79" t="s">
        <v>1610</v>
      </c>
      <c r="K79" t="s">
        <v>2174</v>
      </c>
    </row>
    <row r="80" spans="1:11">
      <c r="A80" t="s">
        <v>76</v>
      </c>
      <c r="B80" t="s">
        <v>2334</v>
      </c>
      <c r="C80" t="s">
        <v>2335</v>
      </c>
      <c r="D80" s="95">
        <f>Prices!$J$37</f>
        <v>234.31472081218274</v>
      </c>
      <c r="F80">
        <v>10.17</v>
      </c>
      <c r="G80" t="s">
        <v>2336</v>
      </c>
      <c r="H80" t="s">
        <v>12</v>
      </c>
      <c r="I80" t="s">
        <v>2335</v>
      </c>
      <c r="J80" t="s">
        <v>1610</v>
      </c>
      <c r="K80" t="s">
        <v>2323</v>
      </c>
    </row>
    <row r="81" spans="1:11">
      <c r="A81" t="s">
        <v>76</v>
      </c>
      <c r="B81" t="s">
        <v>3416</v>
      </c>
      <c r="C81" t="s">
        <v>3417</v>
      </c>
      <c r="D81" s="95">
        <f>Prices!$J$37</f>
        <v>234.31472081218274</v>
      </c>
      <c r="F81">
        <v>0</v>
      </c>
      <c r="G81" t="s">
        <v>3418</v>
      </c>
      <c r="I81" t="s">
        <v>3417</v>
      </c>
      <c r="J81" t="s">
        <v>1610</v>
      </c>
      <c r="K81" t="s">
        <v>3419</v>
      </c>
    </row>
    <row r="82" spans="1:11">
      <c r="A82" t="s">
        <v>76</v>
      </c>
      <c r="B82" t="s">
        <v>3630</v>
      </c>
      <c r="C82" t="s">
        <v>3631</v>
      </c>
      <c r="D82" s="95">
        <f>Prices!$J$37</f>
        <v>234.31472081218274</v>
      </c>
      <c r="F82">
        <v>9.3800000000000008</v>
      </c>
      <c r="G82" t="s">
        <v>3632</v>
      </c>
      <c r="H82" t="s">
        <v>12</v>
      </c>
      <c r="I82" t="s">
        <v>3631</v>
      </c>
      <c r="J82" t="s">
        <v>1610</v>
      </c>
    </row>
    <row r="83" spans="1:11">
      <c r="A83" t="s">
        <v>10</v>
      </c>
      <c r="B83" t="s">
        <v>4150</v>
      </c>
      <c r="C83" t="s">
        <v>4151</v>
      </c>
      <c r="D83" s="95">
        <f>Prices!$J$37</f>
        <v>234.31472081218274</v>
      </c>
      <c r="F83">
        <v>8.08</v>
      </c>
      <c r="G83" t="s">
        <v>4152</v>
      </c>
      <c r="H83" t="s">
        <v>12</v>
      </c>
      <c r="I83" t="s">
        <v>4151</v>
      </c>
      <c r="J83" t="s">
        <v>1610</v>
      </c>
    </row>
    <row r="84" spans="1:11">
      <c r="A84" t="s">
        <v>10</v>
      </c>
      <c r="B84" t="s">
        <v>4211</v>
      </c>
      <c r="C84" t="s">
        <v>4212</v>
      </c>
      <c r="D84" s="95">
        <f>Prices!$J$37</f>
        <v>234.31472081218274</v>
      </c>
      <c r="F84">
        <v>11.66</v>
      </c>
      <c r="G84" t="s">
        <v>4213</v>
      </c>
      <c r="H84" t="s">
        <v>12</v>
      </c>
      <c r="I84" t="s">
        <v>4212</v>
      </c>
      <c r="J84" t="s">
        <v>1610</v>
      </c>
    </row>
    <row r="85" spans="1:11">
      <c r="A85" t="s">
        <v>10</v>
      </c>
      <c r="B85" t="s">
        <v>3566</v>
      </c>
      <c r="C85" t="s">
        <v>3567</v>
      </c>
      <c r="D85" s="95">
        <f>Prices!$J$37</f>
        <v>234.31472081218274</v>
      </c>
      <c r="F85">
        <v>17.77</v>
      </c>
      <c r="G85" t="s">
        <v>3568</v>
      </c>
      <c r="H85" t="s">
        <v>12</v>
      </c>
      <c r="I85" t="s">
        <v>3567</v>
      </c>
      <c r="J85" t="s">
        <v>1610</v>
      </c>
      <c r="K85" t="s">
        <v>3569</v>
      </c>
    </row>
    <row r="86" spans="1:11">
      <c r="A86" t="s">
        <v>10</v>
      </c>
      <c r="B86" t="s">
        <v>3540</v>
      </c>
      <c r="C86" t="s">
        <v>3541</v>
      </c>
      <c r="D86" s="95">
        <f>Prices!$J$37</f>
        <v>234.31472081218274</v>
      </c>
      <c r="F86">
        <v>35.64</v>
      </c>
      <c r="G86" t="s">
        <v>3542</v>
      </c>
      <c r="H86" t="s">
        <v>12</v>
      </c>
      <c r="I86" t="s">
        <v>3541</v>
      </c>
      <c r="J86" t="s">
        <v>1610</v>
      </c>
    </row>
    <row r="87" spans="1:11">
      <c r="A87" t="s">
        <v>10</v>
      </c>
      <c r="B87" t="s">
        <v>3241</v>
      </c>
      <c r="C87" t="s">
        <v>3242</v>
      </c>
      <c r="D87" s="95">
        <f>Prices!$J$37</f>
        <v>234.31472081218274</v>
      </c>
      <c r="F87">
        <v>0</v>
      </c>
      <c r="G87" t="s">
        <v>3243</v>
      </c>
      <c r="I87" t="s">
        <v>3242</v>
      </c>
      <c r="J87" t="s">
        <v>1610</v>
      </c>
    </row>
    <row r="88" spans="1:11">
      <c r="A88" t="s">
        <v>10</v>
      </c>
      <c r="B88" t="s">
        <v>4147</v>
      </c>
      <c r="C88" t="s">
        <v>4148</v>
      </c>
      <c r="D88" s="95">
        <f>Prices!$J$37</f>
        <v>234.31472081218274</v>
      </c>
      <c r="F88">
        <v>3.7</v>
      </c>
      <c r="G88" t="s">
        <v>4149</v>
      </c>
      <c r="H88" t="s">
        <v>12</v>
      </c>
      <c r="I88" t="s">
        <v>4148</v>
      </c>
      <c r="J88" t="s">
        <v>1610</v>
      </c>
    </row>
    <row r="89" spans="1:11">
      <c r="A89" t="s">
        <v>10</v>
      </c>
      <c r="B89" t="s">
        <v>4056</v>
      </c>
      <c r="C89" t="s">
        <v>4057</v>
      </c>
      <c r="D89" s="95">
        <f>Prices!$J$37</f>
        <v>234.31472081218274</v>
      </c>
      <c r="F89">
        <v>54.43</v>
      </c>
      <c r="G89" t="s">
        <v>4058</v>
      </c>
      <c r="H89" t="s">
        <v>12</v>
      </c>
      <c r="I89" t="s">
        <v>4057</v>
      </c>
      <c r="J89" t="s">
        <v>1610</v>
      </c>
    </row>
    <row r="90" spans="1:11">
      <c r="A90" t="s">
        <v>10</v>
      </c>
      <c r="B90" t="s">
        <v>3818</v>
      </c>
      <c r="C90" t="s">
        <v>3819</v>
      </c>
      <c r="D90" s="95">
        <f>Prices!$J$37</f>
        <v>234.31472081218274</v>
      </c>
      <c r="F90">
        <v>19.100000000000001</v>
      </c>
      <c r="G90" t="s">
        <v>3820</v>
      </c>
      <c r="H90" t="s">
        <v>12</v>
      </c>
      <c r="I90" t="s">
        <v>3819</v>
      </c>
      <c r="J90" t="s">
        <v>1610</v>
      </c>
      <c r="K90" t="s">
        <v>3821</v>
      </c>
    </row>
    <row r="91" spans="1:11">
      <c r="A91" t="s">
        <v>10</v>
      </c>
      <c r="B91" t="s">
        <v>788</v>
      </c>
      <c r="C91" t="s">
        <v>789</v>
      </c>
      <c r="D91" s="95">
        <f>Prices!$J$37</f>
        <v>234.31472081218274</v>
      </c>
      <c r="F91">
        <v>27.23</v>
      </c>
      <c r="G91" t="s">
        <v>790</v>
      </c>
      <c r="H91" t="s">
        <v>12</v>
      </c>
      <c r="I91" t="s">
        <v>789</v>
      </c>
      <c r="J91" t="s">
        <v>13</v>
      </c>
      <c r="K91" t="s">
        <v>791</v>
      </c>
    </row>
    <row r="92" spans="1:11">
      <c r="A92" t="s">
        <v>76</v>
      </c>
      <c r="B92" t="s">
        <v>388</v>
      </c>
      <c r="C92" t="s">
        <v>389</v>
      </c>
      <c r="D92" s="95">
        <f>Prices!$J$37</f>
        <v>234.31472081218274</v>
      </c>
      <c r="F92">
        <v>0</v>
      </c>
      <c r="G92" t="s">
        <v>390</v>
      </c>
      <c r="I92" t="s">
        <v>389</v>
      </c>
      <c r="J92" t="s">
        <v>13</v>
      </c>
      <c r="K92" t="s">
        <v>391</v>
      </c>
    </row>
    <row r="93" spans="1:11">
      <c r="A93" t="s">
        <v>10</v>
      </c>
      <c r="B93" t="s">
        <v>3517</v>
      </c>
      <c r="C93" t="s">
        <v>3518</v>
      </c>
      <c r="D93" s="95">
        <f>Prices!$J$33+3</f>
        <v>234.9597989949749</v>
      </c>
      <c r="F93">
        <v>28.02</v>
      </c>
      <c r="G93" t="s">
        <v>3519</v>
      </c>
      <c r="H93" t="s">
        <v>12</v>
      </c>
      <c r="I93" t="s">
        <v>3518</v>
      </c>
      <c r="J93" t="s">
        <v>1610</v>
      </c>
    </row>
    <row r="94" spans="1:11">
      <c r="A94" t="s">
        <v>76</v>
      </c>
      <c r="B94" t="s">
        <v>4214</v>
      </c>
      <c r="C94" t="s">
        <v>4215</v>
      </c>
      <c r="D94" s="95">
        <f>Prices!$J$33+3</f>
        <v>234.9597989949749</v>
      </c>
      <c r="F94">
        <v>236</v>
      </c>
      <c r="G94" t="s">
        <v>4216</v>
      </c>
      <c r="H94" t="s">
        <v>12</v>
      </c>
      <c r="I94" t="s">
        <v>4215</v>
      </c>
      <c r="J94" t="s">
        <v>1610</v>
      </c>
      <c r="K94" t="s">
        <v>4217</v>
      </c>
    </row>
    <row r="95" spans="1:11">
      <c r="A95" t="s">
        <v>10</v>
      </c>
      <c r="B95" t="s">
        <v>2495</v>
      </c>
      <c r="C95" t="s">
        <v>2496</v>
      </c>
      <c r="D95" s="95">
        <f>Prices!$J$33+3</f>
        <v>234.9597989949749</v>
      </c>
      <c r="F95">
        <v>99.51</v>
      </c>
      <c r="G95" t="s">
        <v>2497</v>
      </c>
      <c r="H95" t="s">
        <v>12</v>
      </c>
      <c r="I95" t="s">
        <v>2496</v>
      </c>
      <c r="J95" t="s">
        <v>1610</v>
      </c>
    </row>
    <row r="96" spans="1:11">
      <c r="A96" t="s">
        <v>10</v>
      </c>
      <c r="B96" t="s">
        <v>2623</v>
      </c>
      <c r="C96" t="s">
        <v>2624</v>
      </c>
      <c r="D96" s="95">
        <f>Prices!$J$33+3</f>
        <v>234.9597989949749</v>
      </c>
      <c r="F96">
        <v>16.5</v>
      </c>
      <c r="G96" t="s">
        <v>2625</v>
      </c>
      <c r="H96" t="s">
        <v>12</v>
      </c>
      <c r="I96" t="s">
        <v>2624</v>
      </c>
      <c r="J96" t="s">
        <v>1610</v>
      </c>
    </row>
    <row r="97" spans="1:11">
      <c r="A97" t="s">
        <v>10</v>
      </c>
      <c r="B97" t="s">
        <v>3887</v>
      </c>
      <c r="C97" t="s">
        <v>3888</v>
      </c>
      <c r="D97" s="95">
        <f>Prices!$J$33+3</f>
        <v>234.9597989949749</v>
      </c>
      <c r="F97">
        <v>11.15</v>
      </c>
      <c r="G97" t="s">
        <v>3889</v>
      </c>
      <c r="H97" t="s">
        <v>12</v>
      </c>
      <c r="I97" t="s">
        <v>3888</v>
      </c>
      <c r="J97" t="s">
        <v>1610</v>
      </c>
      <c r="K97" t="s">
        <v>1638</v>
      </c>
    </row>
    <row r="98" spans="1:11">
      <c r="A98" t="s">
        <v>10</v>
      </c>
      <c r="B98" t="s">
        <v>2770</v>
      </c>
      <c r="C98" t="s">
        <v>2771</v>
      </c>
      <c r="D98" s="95">
        <f>Prices!$J$33+3</f>
        <v>234.9597989949749</v>
      </c>
      <c r="F98">
        <v>19.329999999999998</v>
      </c>
      <c r="G98" t="s">
        <v>2772</v>
      </c>
      <c r="H98" t="s">
        <v>12</v>
      </c>
      <c r="I98" t="s">
        <v>2771</v>
      </c>
      <c r="J98" t="s">
        <v>1610</v>
      </c>
      <c r="K98" t="s">
        <v>2773</v>
      </c>
    </row>
    <row r="99" spans="1:11">
      <c r="A99" t="s">
        <v>10</v>
      </c>
      <c r="B99" t="s">
        <v>3430</v>
      </c>
      <c r="C99" t="s">
        <v>3431</v>
      </c>
      <c r="D99" s="95">
        <f>Prices!$J$33+3</f>
        <v>234.9597989949749</v>
      </c>
      <c r="F99">
        <v>31.92</v>
      </c>
      <c r="G99" t="s">
        <v>3432</v>
      </c>
      <c r="H99" t="s">
        <v>12</v>
      </c>
      <c r="I99" t="s">
        <v>3431</v>
      </c>
      <c r="J99" t="s">
        <v>1610</v>
      </c>
      <c r="K99" t="s">
        <v>3433</v>
      </c>
    </row>
    <row r="100" spans="1:11">
      <c r="A100" t="s">
        <v>10</v>
      </c>
      <c r="B100" t="s">
        <v>2442</v>
      </c>
      <c r="C100" t="s">
        <v>2443</v>
      </c>
      <c r="D100" s="95">
        <f>Prices!$J$33+3</f>
        <v>234.9597989949749</v>
      </c>
      <c r="F100">
        <v>27.8</v>
      </c>
      <c r="G100" t="s">
        <v>2444</v>
      </c>
      <c r="H100" t="s">
        <v>12</v>
      </c>
      <c r="I100" t="s">
        <v>2443</v>
      </c>
      <c r="J100" t="s">
        <v>1610</v>
      </c>
      <c r="K100" t="s">
        <v>2445</v>
      </c>
    </row>
    <row r="101" spans="1:11">
      <c r="A101" t="s">
        <v>10</v>
      </c>
      <c r="B101" t="s">
        <v>3105</v>
      </c>
      <c r="C101" t="s">
        <v>3106</v>
      </c>
      <c r="D101" s="95">
        <f>Prices!$J$33+3</f>
        <v>234.9597989949749</v>
      </c>
      <c r="F101">
        <v>8.3800000000000008</v>
      </c>
      <c r="G101" t="s">
        <v>3107</v>
      </c>
      <c r="H101" t="s">
        <v>12</v>
      </c>
      <c r="I101" t="s">
        <v>3106</v>
      </c>
      <c r="J101" t="s">
        <v>1610</v>
      </c>
      <c r="K101" t="s">
        <v>3108</v>
      </c>
    </row>
    <row r="102" spans="1:11">
      <c r="A102" t="s">
        <v>10</v>
      </c>
      <c r="B102" t="s">
        <v>3616</v>
      </c>
      <c r="C102" t="s">
        <v>3617</v>
      </c>
      <c r="D102" s="95">
        <f>Prices!$J$33+3</f>
        <v>234.9597989949749</v>
      </c>
      <c r="F102">
        <v>81.650000000000006</v>
      </c>
      <c r="G102" t="s">
        <v>3618</v>
      </c>
      <c r="H102" t="s">
        <v>12</v>
      </c>
      <c r="I102" t="s">
        <v>3617</v>
      </c>
      <c r="J102" t="s">
        <v>1610</v>
      </c>
    </row>
    <row r="103" spans="1:11">
      <c r="A103" t="s">
        <v>10</v>
      </c>
      <c r="B103" t="s">
        <v>2486</v>
      </c>
      <c r="C103" t="s">
        <v>2487</v>
      </c>
      <c r="D103" s="95">
        <f>Prices!$J$37</f>
        <v>234.31472081218274</v>
      </c>
      <c r="F103">
        <v>20.059999999999999</v>
      </c>
      <c r="G103" t="s">
        <v>2488</v>
      </c>
      <c r="H103" t="s">
        <v>12</v>
      </c>
      <c r="I103" t="s">
        <v>2487</v>
      </c>
      <c r="J103" t="s">
        <v>1610</v>
      </c>
    </row>
    <row r="104" spans="1:11">
      <c r="A104" t="s">
        <v>10</v>
      </c>
      <c r="B104" t="s">
        <v>3411</v>
      </c>
      <c r="C104" t="s">
        <v>3412</v>
      </c>
      <c r="D104" s="95">
        <f>Prices!$J$33+3</f>
        <v>234.9597989949749</v>
      </c>
      <c r="F104">
        <v>0</v>
      </c>
      <c r="G104" t="s">
        <v>3413</v>
      </c>
      <c r="I104" t="s">
        <v>3412</v>
      </c>
      <c r="J104" t="s">
        <v>1610</v>
      </c>
    </row>
    <row r="105" spans="1:11">
      <c r="A105" t="s">
        <v>76</v>
      </c>
      <c r="B105" t="s">
        <v>2136</v>
      </c>
      <c r="C105" t="s">
        <v>2137</v>
      </c>
      <c r="D105" s="95">
        <f>Prices!$J$33+3</f>
        <v>234.9597989949749</v>
      </c>
      <c r="F105">
        <v>54.51</v>
      </c>
      <c r="G105" t="s">
        <v>2138</v>
      </c>
      <c r="H105" t="s">
        <v>12</v>
      </c>
      <c r="I105" t="s">
        <v>2137</v>
      </c>
      <c r="J105" t="s">
        <v>1610</v>
      </c>
      <c r="K105" t="s">
        <v>2139</v>
      </c>
    </row>
    <row r="106" spans="1:11">
      <c r="A106" t="s">
        <v>76</v>
      </c>
      <c r="B106" t="s">
        <v>3918</v>
      </c>
      <c r="C106" t="s">
        <v>3919</v>
      </c>
      <c r="D106" s="95">
        <f>Prices!$J$33</f>
        <v>231.9597989949749</v>
      </c>
      <c r="F106">
        <v>285.05</v>
      </c>
      <c r="G106" t="s">
        <v>3920</v>
      </c>
      <c r="H106" t="s">
        <v>12</v>
      </c>
      <c r="I106" t="s">
        <v>3919</v>
      </c>
      <c r="J106" t="s">
        <v>1610</v>
      </c>
      <c r="K106" t="s">
        <v>3921</v>
      </c>
    </row>
    <row r="107" spans="1:11">
      <c r="A107" t="s">
        <v>76</v>
      </c>
      <c r="B107" t="s">
        <v>2806</v>
      </c>
      <c r="C107" t="s">
        <v>2807</v>
      </c>
      <c r="D107" s="95">
        <f>Prices!$J$37</f>
        <v>234.31472081218274</v>
      </c>
      <c r="F107">
        <v>113.56</v>
      </c>
      <c r="G107" t="s">
        <v>2808</v>
      </c>
      <c r="H107" t="s">
        <v>12</v>
      </c>
      <c r="I107" t="s">
        <v>2807</v>
      </c>
      <c r="J107" t="s">
        <v>1610</v>
      </c>
      <c r="K107" t="s">
        <v>2809</v>
      </c>
    </row>
    <row r="108" spans="1:11">
      <c r="A108" t="s">
        <v>76</v>
      </c>
      <c r="B108" t="s">
        <v>2825</v>
      </c>
      <c r="C108" t="s">
        <v>2826</v>
      </c>
      <c r="D108" s="95">
        <f>Prices!$J$33</f>
        <v>231.9597989949749</v>
      </c>
      <c r="F108">
        <v>152.37</v>
      </c>
      <c r="G108" t="s">
        <v>2827</v>
      </c>
      <c r="H108" t="s">
        <v>12</v>
      </c>
      <c r="I108" t="s">
        <v>2826</v>
      </c>
      <c r="J108" t="s">
        <v>1610</v>
      </c>
      <c r="K108" t="s">
        <v>2828</v>
      </c>
    </row>
    <row r="109" spans="1:11">
      <c r="A109" t="s">
        <v>76</v>
      </c>
      <c r="B109" t="s">
        <v>3544</v>
      </c>
      <c r="C109" t="s">
        <v>3545</v>
      </c>
      <c r="D109" s="95">
        <f>Prices!$J$33</f>
        <v>231.9597989949749</v>
      </c>
      <c r="F109">
        <v>18.97</v>
      </c>
      <c r="G109" t="s">
        <v>3546</v>
      </c>
      <c r="H109" t="s">
        <v>12</v>
      </c>
      <c r="I109" t="s">
        <v>3545</v>
      </c>
      <c r="J109" t="s">
        <v>1610</v>
      </c>
      <c r="K109" t="s">
        <v>3547</v>
      </c>
    </row>
    <row r="110" spans="1:11">
      <c r="A110" t="s">
        <v>76</v>
      </c>
      <c r="B110" t="s">
        <v>2155</v>
      </c>
      <c r="C110" t="s">
        <v>2156</v>
      </c>
      <c r="D110" s="95">
        <f>Prices!$J$37</f>
        <v>234.31472081218274</v>
      </c>
      <c r="F110">
        <v>14.71</v>
      </c>
      <c r="G110" t="s">
        <v>2157</v>
      </c>
      <c r="H110" t="s">
        <v>12</v>
      </c>
      <c r="I110" t="s">
        <v>2156</v>
      </c>
      <c r="J110" t="s">
        <v>1610</v>
      </c>
      <c r="K110" t="s">
        <v>2158</v>
      </c>
    </row>
    <row r="111" spans="1:11">
      <c r="A111" t="s">
        <v>76</v>
      </c>
      <c r="B111" t="s">
        <v>3563</v>
      </c>
      <c r="C111" t="s">
        <v>3564</v>
      </c>
      <c r="D111" s="95">
        <f>Prices!$J$37</f>
        <v>234.31472081218274</v>
      </c>
      <c r="F111">
        <v>22.12</v>
      </c>
      <c r="G111" t="s">
        <v>3565</v>
      </c>
      <c r="H111" t="s">
        <v>12</v>
      </c>
      <c r="I111" t="s">
        <v>3564</v>
      </c>
      <c r="J111" t="s">
        <v>1610</v>
      </c>
    </row>
    <row r="112" spans="1:11">
      <c r="A112" t="s">
        <v>76</v>
      </c>
      <c r="B112" t="s">
        <v>2577</v>
      </c>
      <c r="C112" t="s">
        <v>2578</v>
      </c>
      <c r="D112" s="95">
        <f>Prices!$J$33</f>
        <v>231.9597989949749</v>
      </c>
      <c r="F112">
        <v>153.72999999999999</v>
      </c>
      <c r="G112" t="s">
        <v>2579</v>
      </c>
      <c r="H112" t="s">
        <v>12</v>
      </c>
      <c r="I112" t="s">
        <v>2578</v>
      </c>
      <c r="J112" t="s">
        <v>1610</v>
      </c>
      <c r="K112" t="s">
        <v>2580</v>
      </c>
    </row>
    <row r="113" spans="1:11">
      <c r="A113" t="s">
        <v>76</v>
      </c>
      <c r="B113" t="s">
        <v>2255</v>
      </c>
      <c r="C113" t="s">
        <v>2810</v>
      </c>
      <c r="D113" s="95">
        <f>Prices!$J$33</f>
        <v>231.9597989949749</v>
      </c>
      <c r="F113">
        <v>151.97</v>
      </c>
      <c r="G113" t="s">
        <v>2811</v>
      </c>
      <c r="H113" t="s">
        <v>12</v>
      </c>
      <c r="I113" t="s">
        <v>2810</v>
      </c>
      <c r="J113" t="s">
        <v>1610</v>
      </c>
      <c r="K113" t="s">
        <v>2812</v>
      </c>
    </row>
    <row r="114" spans="1:11">
      <c r="A114" t="s">
        <v>76</v>
      </c>
      <c r="B114" t="s">
        <v>3597</v>
      </c>
      <c r="C114" t="s">
        <v>3598</v>
      </c>
      <c r="D114" s="95">
        <f>Prices!$J$37</f>
        <v>234.31472081218274</v>
      </c>
      <c r="F114">
        <v>0.2</v>
      </c>
      <c r="G114" t="s">
        <v>3599</v>
      </c>
      <c r="H114" t="s">
        <v>12</v>
      </c>
      <c r="I114" t="s">
        <v>3598</v>
      </c>
      <c r="J114" t="s">
        <v>1610</v>
      </c>
      <c r="K114" t="s">
        <v>3600</v>
      </c>
    </row>
    <row r="115" spans="1:11">
      <c r="A115" t="s">
        <v>10</v>
      </c>
      <c r="B115" t="s">
        <v>3651</v>
      </c>
      <c r="C115" t="s">
        <v>3652</v>
      </c>
      <c r="D115" s="95">
        <f>Prices!$J$37</f>
        <v>234.31472081218274</v>
      </c>
      <c r="F115">
        <v>1.76</v>
      </c>
      <c r="G115" t="s">
        <v>3653</v>
      </c>
      <c r="H115" t="s">
        <v>12</v>
      </c>
      <c r="I115" t="s">
        <v>3652</v>
      </c>
      <c r="J115" t="s">
        <v>1610</v>
      </c>
    </row>
    <row r="116" spans="1:11">
      <c r="A116" t="s">
        <v>76</v>
      </c>
      <c r="B116" t="s">
        <v>2508</v>
      </c>
      <c r="C116" t="s">
        <v>2509</v>
      </c>
      <c r="D116" s="95">
        <f>Prices!$J$37</f>
        <v>234.31472081218274</v>
      </c>
      <c r="F116">
        <v>37.020000000000003</v>
      </c>
      <c r="G116" t="s">
        <v>2510</v>
      </c>
      <c r="H116" t="s">
        <v>12</v>
      </c>
      <c r="I116" t="s">
        <v>2509</v>
      </c>
      <c r="J116" t="s">
        <v>1610</v>
      </c>
      <c r="K116" t="s">
        <v>2511</v>
      </c>
    </row>
    <row r="117" spans="1:11">
      <c r="A117" t="s">
        <v>10</v>
      </c>
      <c r="B117" t="s">
        <v>3716</v>
      </c>
      <c r="C117" t="s">
        <v>3717</v>
      </c>
      <c r="D117" s="95">
        <f>Prices!$J$37</f>
        <v>234.31472081218274</v>
      </c>
      <c r="F117">
        <v>70</v>
      </c>
      <c r="G117" t="s">
        <v>3718</v>
      </c>
      <c r="H117" t="s">
        <v>12</v>
      </c>
      <c r="I117" t="s">
        <v>3717</v>
      </c>
      <c r="J117" t="s">
        <v>1610</v>
      </c>
    </row>
    <row r="118" spans="1:11">
      <c r="A118" t="s">
        <v>10</v>
      </c>
      <c r="B118" t="s">
        <v>3852</v>
      </c>
      <c r="C118" t="s">
        <v>3853</v>
      </c>
      <c r="D118" s="95">
        <f>Prices!$J$37</f>
        <v>234.31472081218274</v>
      </c>
      <c r="F118">
        <v>4.1900000000000004</v>
      </c>
      <c r="G118" t="s">
        <v>3854</v>
      </c>
      <c r="H118" t="s">
        <v>12</v>
      </c>
      <c r="I118" t="s">
        <v>3853</v>
      </c>
      <c r="J118" t="s">
        <v>1610</v>
      </c>
      <c r="K118" t="s">
        <v>2044</v>
      </c>
    </row>
    <row r="119" spans="1:11">
      <c r="A119" t="s">
        <v>23</v>
      </c>
      <c r="B119" t="s">
        <v>1079</v>
      </c>
      <c r="C119" t="s">
        <v>1080</v>
      </c>
      <c r="D119" s="95">
        <f>Prices!$J$39</f>
        <v>246.84491978609626</v>
      </c>
      <c r="F119">
        <v>153.69</v>
      </c>
      <c r="G119" t="s">
        <v>1081</v>
      </c>
      <c r="H119" t="s">
        <v>12</v>
      </c>
      <c r="I119" t="s">
        <v>1080</v>
      </c>
      <c r="J119" t="s">
        <v>940</v>
      </c>
    </row>
    <row r="120" spans="1:11">
      <c r="A120" t="s">
        <v>10</v>
      </c>
      <c r="B120" t="s">
        <v>4082</v>
      </c>
      <c r="C120" t="s">
        <v>4083</v>
      </c>
      <c r="D120" s="95">
        <f>Prices!$J$35</f>
        <v>233.13131313131314</v>
      </c>
      <c r="F120">
        <v>22.94</v>
      </c>
      <c r="G120" t="s">
        <v>4084</v>
      </c>
      <c r="H120" t="s">
        <v>12</v>
      </c>
      <c r="I120" t="s">
        <v>4083</v>
      </c>
      <c r="J120" t="s">
        <v>1610</v>
      </c>
      <c r="K120" t="s">
        <v>2539</v>
      </c>
    </row>
    <row r="121" spans="1:11">
      <c r="A121" t="s">
        <v>10</v>
      </c>
      <c r="B121" t="s">
        <v>2777</v>
      </c>
      <c r="C121" t="s">
        <v>2778</v>
      </c>
      <c r="D121" s="95">
        <f>Prices!$J$37</f>
        <v>234.31472081218274</v>
      </c>
      <c r="F121">
        <v>4.99</v>
      </c>
      <c r="G121" t="s">
        <v>2779</v>
      </c>
      <c r="H121" t="s">
        <v>12</v>
      </c>
      <c r="I121" t="s">
        <v>2778</v>
      </c>
      <c r="J121" t="s">
        <v>1610</v>
      </c>
      <c r="K121" t="s">
        <v>2044</v>
      </c>
    </row>
    <row r="122" spans="1:11">
      <c r="A122" t="s">
        <v>10</v>
      </c>
      <c r="B122" t="s">
        <v>2762</v>
      </c>
      <c r="C122" t="s">
        <v>2763</v>
      </c>
      <c r="D122" s="95">
        <f>Prices!$J$37</f>
        <v>234.31472081218274</v>
      </c>
      <c r="F122">
        <v>10.08</v>
      </c>
      <c r="G122" t="s">
        <v>2764</v>
      </c>
      <c r="H122" t="s">
        <v>12</v>
      </c>
      <c r="I122" t="s">
        <v>2763</v>
      </c>
      <c r="J122" t="s">
        <v>1610</v>
      </c>
    </row>
    <row r="123" spans="1:11">
      <c r="A123" t="s">
        <v>10</v>
      </c>
      <c r="B123" t="s">
        <v>3683</v>
      </c>
      <c r="C123" t="s">
        <v>3684</v>
      </c>
      <c r="D123" s="95">
        <f>Prices!$J$37</f>
        <v>234.31472081218274</v>
      </c>
      <c r="F123">
        <v>27.06</v>
      </c>
      <c r="G123" t="s">
        <v>3685</v>
      </c>
      <c r="H123" t="s">
        <v>12</v>
      </c>
      <c r="I123" t="s">
        <v>3684</v>
      </c>
      <c r="J123" t="s">
        <v>1610</v>
      </c>
      <c r="K123" t="s">
        <v>2688</v>
      </c>
    </row>
    <row r="124" spans="1:11">
      <c r="A124" t="s">
        <v>10</v>
      </c>
      <c r="B124" t="s">
        <v>3886</v>
      </c>
      <c r="C124" t="s">
        <v>3375</v>
      </c>
      <c r="D124" s="95">
        <f>Prices!$J$37</f>
        <v>234.31472081218274</v>
      </c>
      <c r="F124">
        <v>0.86</v>
      </c>
      <c r="G124" t="s">
        <v>3376</v>
      </c>
      <c r="H124" t="s">
        <v>12</v>
      </c>
      <c r="I124" t="s">
        <v>3375</v>
      </c>
      <c r="J124" t="s">
        <v>1610</v>
      </c>
      <c r="K124" t="s">
        <v>3377</v>
      </c>
    </row>
    <row r="125" spans="1:11">
      <c r="A125" t="s">
        <v>10</v>
      </c>
      <c r="B125" t="s">
        <v>4079</v>
      </c>
      <c r="C125" t="s">
        <v>4080</v>
      </c>
      <c r="D125" s="95">
        <f>Prices!$J$37</f>
        <v>234.31472081218274</v>
      </c>
      <c r="F125">
        <v>23.39</v>
      </c>
      <c r="G125" t="s">
        <v>4081</v>
      </c>
      <c r="H125" t="s">
        <v>12</v>
      </c>
      <c r="I125" t="s">
        <v>4080</v>
      </c>
      <c r="J125" t="s">
        <v>1610</v>
      </c>
      <c r="K125" t="s">
        <v>2688</v>
      </c>
    </row>
    <row r="126" spans="1:11">
      <c r="A126" t="s">
        <v>10</v>
      </c>
      <c r="B126" t="s">
        <v>3623</v>
      </c>
      <c r="C126" t="s">
        <v>3624</v>
      </c>
      <c r="D126" s="95">
        <f>Prices!$J$37</f>
        <v>234.31472081218274</v>
      </c>
      <c r="F126">
        <v>2.17</v>
      </c>
      <c r="G126" t="s">
        <v>3625</v>
      </c>
      <c r="H126" t="s">
        <v>12</v>
      </c>
      <c r="I126" t="s">
        <v>3624</v>
      </c>
      <c r="J126" t="s">
        <v>1610</v>
      </c>
    </row>
    <row r="127" spans="1:11">
      <c r="A127" t="s">
        <v>10</v>
      </c>
      <c r="B127" t="s">
        <v>2676</v>
      </c>
      <c r="C127" t="s">
        <v>2677</v>
      </c>
      <c r="D127" s="95">
        <f>Prices!$J$37</f>
        <v>234.31472081218274</v>
      </c>
      <c r="F127">
        <v>7.53</v>
      </c>
      <c r="G127" t="s">
        <v>2678</v>
      </c>
      <c r="H127" t="s">
        <v>12</v>
      </c>
      <c r="I127" t="s">
        <v>2677</v>
      </c>
      <c r="J127" t="s">
        <v>1610</v>
      </c>
    </row>
    <row r="128" spans="1:11">
      <c r="A128" t="s">
        <v>10</v>
      </c>
      <c r="B128" t="s">
        <v>3689</v>
      </c>
      <c r="C128" t="s">
        <v>3690</v>
      </c>
      <c r="D128" s="95">
        <f>Prices!$J$37</f>
        <v>234.31472081218274</v>
      </c>
      <c r="F128">
        <v>2.99</v>
      </c>
      <c r="G128" t="s">
        <v>3691</v>
      </c>
      <c r="H128" t="s">
        <v>12</v>
      </c>
      <c r="I128" t="s">
        <v>3690</v>
      </c>
      <c r="J128" t="s">
        <v>1610</v>
      </c>
    </row>
    <row r="129" spans="1:11">
      <c r="A129" t="s">
        <v>10</v>
      </c>
      <c r="B129" t="s">
        <v>2664</v>
      </c>
      <c r="C129" t="s">
        <v>2665</v>
      </c>
      <c r="D129" s="95">
        <f>Prices!$J$37</f>
        <v>234.31472081218274</v>
      </c>
      <c r="F129">
        <v>0.34</v>
      </c>
      <c r="G129" t="s">
        <v>2666</v>
      </c>
      <c r="H129" t="s">
        <v>12</v>
      </c>
      <c r="I129" t="s">
        <v>2665</v>
      </c>
      <c r="J129" t="s">
        <v>1610</v>
      </c>
    </row>
    <row r="130" spans="1:11">
      <c r="A130" t="s">
        <v>10</v>
      </c>
      <c r="B130" t="s">
        <v>2774</v>
      </c>
      <c r="C130" t="s">
        <v>2775</v>
      </c>
      <c r="D130" s="95">
        <f>Prices!$J$37</f>
        <v>234.31472081218274</v>
      </c>
      <c r="F130">
        <v>0.44</v>
      </c>
      <c r="G130" t="s">
        <v>2776</v>
      </c>
      <c r="H130" t="s">
        <v>12</v>
      </c>
      <c r="I130" t="s">
        <v>2775</v>
      </c>
      <c r="J130" t="s">
        <v>1610</v>
      </c>
    </row>
    <row r="131" spans="1:11">
      <c r="A131" t="s">
        <v>10</v>
      </c>
      <c r="B131" t="s">
        <v>2685</v>
      </c>
      <c r="C131" t="s">
        <v>2686</v>
      </c>
      <c r="D131" s="95">
        <f>Prices!$J$37</f>
        <v>234.31472081218274</v>
      </c>
      <c r="F131">
        <v>22.01</v>
      </c>
      <c r="G131" t="s">
        <v>2687</v>
      </c>
      <c r="H131" t="s">
        <v>12</v>
      </c>
      <c r="I131" t="s">
        <v>2686</v>
      </c>
      <c r="J131" t="s">
        <v>1610</v>
      </c>
      <c r="K131" t="s">
        <v>2688</v>
      </c>
    </row>
    <row r="132" spans="1:11">
      <c r="A132" t="s">
        <v>10</v>
      </c>
      <c r="B132" t="s">
        <v>3523</v>
      </c>
      <c r="C132" t="s">
        <v>3524</v>
      </c>
      <c r="D132" s="95">
        <f>Prices!$J$37</f>
        <v>234.31472081218274</v>
      </c>
      <c r="F132">
        <v>6.62</v>
      </c>
      <c r="G132" t="s">
        <v>3525</v>
      </c>
      <c r="H132" t="s">
        <v>12</v>
      </c>
      <c r="I132" t="s">
        <v>3524</v>
      </c>
      <c r="J132" t="s">
        <v>1610</v>
      </c>
      <c r="K132" t="s">
        <v>3232</v>
      </c>
    </row>
    <row r="133" spans="1:11">
      <c r="A133" t="s">
        <v>10</v>
      </c>
      <c r="B133" t="s">
        <v>4195</v>
      </c>
      <c r="C133" t="s">
        <v>4196</v>
      </c>
      <c r="D133" s="95">
        <f>Prices!$J$37</f>
        <v>234.31472081218274</v>
      </c>
      <c r="F133">
        <v>16</v>
      </c>
      <c r="G133" t="s">
        <v>4197</v>
      </c>
      <c r="H133" t="s">
        <v>12</v>
      </c>
      <c r="I133" t="s">
        <v>4196</v>
      </c>
      <c r="J133" t="s">
        <v>1610</v>
      </c>
      <c r="K133" t="s">
        <v>2688</v>
      </c>
    </row>
    <row r="134" spans="1:11">
      <c r="A134" t="s">
        <v>10</v>
      </c>
      <c r="B134" t="s">
        <v>4236</v>
      </c>
      <c r="C134" t="s">
        <v>4237</v>
      </c>
      <c r="D134" s="95">
        <f>Prices!$J$37</f>
        <v>234.31472081218274</v>
      </c>
      <c r="F134">
        <v>3.87</v>
      </c>
      <c r="G134" t="s">
        <v>4238</v>
      </c>
      <c r="H134" t="s">
        <v>12</v>
      </c>
      <c r="I134" t="s">
        <v>4237</v>
      </c>
      <c r="J134" t="s">
        <v>1610</v>
      </c>
    </row>
    <row r="135" spans="1:11">
      <c r="A135" t="s">
        <v>10</v>
      </c>
      <c r="B135" t="s">
        <v>4223</v>
      </c>
      <c r="C135" t="s">
        <v>4224</v>
      </c>
      <c r="D135" s="95">
        <f>Prices!$J$37</f>
        <v>234.31472081218274</v>
      </c>
      <c r="F135">
        <v>17.78</v>
      </c>
      <c r="G135" t="s">
        <v>4225</v>
      </c>
      <c r="H135" t="s">
        <v>12</v>
      </c>
      <c r="I135" t="s">
        <v>4224</v>
      </c>
      <c r="J135" t="s">
        <v>1610</v>
      </c>
    </row>
    <row r="136" spans="1:11">
      <c r="A136" t="s">
        <v>10</v>
      </c>
      <c r="B136" t="s">
        <v>3997</v>
      </c>
      <c r="C136" t="s">
        <v>3998</v>
      </c>
      <c r="D136" s="95">
        <f>Prices!$J$37</f>
        <v>234.31472081218274</v>
      </c>
      <c r="F136">
        <v>13.34</v>
      </c>
      <c r="G136" t="s">
        <v>3999</v>
      </c>
      <c r="H136" t="s">
        <v>12</v>
      </c>
      <c r="I136" t="s">
        <v>3998</v>
      </c>
      <c r="J136" t="s">
        <v>1610</v>
      </c>
    </row>
    <row r="137" spans="1:11" ht="30">
      <c r="A137" t="s">
        <v>10</v>
      </c>
      <c r="B137" s="1" t="s">
        <v>3257</v>
      </c>
      <c r="C137" t="s">
        <v>3258</v>
      </c>
      <c r="D137" s="95">
        <f>Prices!$J$37</f>
        <v>234.31472081218274</v>
      </c>
      <c r="F137">
        <v>0</v>
      </c>
      <c r="G137" t="s">
        <v>3259</v>
      </c>
      <c r="I137" t="s">
        <v>3258</v>
      </c>
      <c r="J137" t="s">
        <v>1610</v>
      </c>
      <c r="K137" t="s">
        <v>2186</v>
      </c>
    </row>
    <row r="138" spans="1:11">
      <c r="A138" t="s">
        <v>10</v>
      </c>
      <c r="B138" t="s">
        <v>3846</v>
      </c>
      <c r="C138" t="s">
        <v>3847</v>
      </c>
      <c r="D138" s="95">
        <f>Prices!$J$37</f>
        <v>234.31472081218274</v>
      </c>
      <c r="F138">
        <v>19.78</v>
      </c>
      <c r="G138" t="s">
        <v>3848</v>
      </c>
      <c r="H138" t="s">
        <v>12</v>
      </c>
      <c r="I138" t="s">
        <v>3847</v>
      </c>
      <c r="J138" t="s">
        <v>1610</v>
      </c>
    </row>
    <row r="139" spans="1:11" ht="30">
      <c r="A139" t="s">
        <v>10</v>
      </c>
      <c r="B139" s="1" t="s">
        <v>2353</v>
      </c>
      <c r="C139" t="s">
        <v>2354</v>
      </c>
      <c r="D139" s="95">
        <f>Prices!$J$43</f>
        <v>260.79096045197741</v>
      </c>
      <c r="F139">
        <v>51.34</v>
      </c>
      <c r="G139" t="s">
        <v>2355</v>
      </c>
      <c r="H139" t="s">
        <v>12</v>
      </c>
      <c r="I139" t="s">
        <v>2354</v>
      </c>
      <c r="J139" t="s">
        <v>1610</v>
      </c>
      <c r="K139" t="s">
        <v>2356</v>
      </c>
    </row>
    <row r="140" spans="1:11">
      <c r="A140" t="s">
        <v>10</v>
      </c>
      <c r="B140" t="s">
        <v>2097</v>
      </c>
      <c r="C140" t="s">
        <v>2098</v>
      </c>
      <c r="D140" s="95">
        <f>Prices!$J$43</f>
        <v>260.79096045197741</v>
      </c>
      <c r="F140">
        <v>36.380000000000003</v>
      </c>
      <c r="G140" t="s">
        <v>2099</v>
      </c>
      <c r="H140" t="s">
        <v>12</v>
      </c>
      <c r="I140" t="s">
        <v>2098</v>
      </c>
      <c r="J140" t="s">
        <v>1610</v>
      </c>
      <c r="K140" t="s">
        <v>2100</v>
      </c>
    </row>
    <row r="141" spans="1:11">
      <c r="A141" t="s">
        <v>10</v>
      </c>
      <c r="B141" t="s">
        <v>4270</v>
      </c>
      <c r="C141" t="s">
        <v>4271</v>
      </c>
      <c r="D141" s="95">
        <f>Prices!$J$43</f>
        <v>260.79096045197741</v>
      </c>
      <c r="F141">
        <v>16.96</v>
      </c>
      <c r="G141" t="s">
        <v>4272</v>
      </c>
      <c r="H141" t="s">
        <v>12</v>
      </c>
      <c r="I141" t="s">
        <v>4271</v>
      </c>
      <c r="J141" t="s">
        <v>1610</v>
      </c>
      <c r="K141" t="s">
        <v>4273</v>
      </c>
    </row>
    <row r="142" spans="1:11">
      <c r="A142" t="s">
        <v>10</v>
      </c>
      <c r="B142" t="s">
        <v>2119</v>
      </c>
      <c r="C142" t="s">
        <v>2120</v>
      </c>
      <c r="D142" s="95">
        <f>Prices!$J$43</f>
        <v>260.79096045197741</v>
      </c>
      <c r="F142">
        <v>68.92</v>
      </c>
      <c r="G142" t="s">
        <v>2121</v>
      </c>
      <c r="H142" t="s">
        <v>12</v>
      </c>
      <c r="I142" t="s">
        <v>2120</v>
      </c>
      <c r="J142" t="s">
        <v>1610</v>
      </c>
      <c r="K142" t="s">
        <v>2122</v>
      </c>
    </row>
    <row r="143" spans="1:11">
      <c r="A143" t="s">
        <v>10</v>
      </c>
      <c r="B143" t="s">
        <v>2089</v>
      </c>
      <c r="C143" t="s">
        <v>2090</v>
      </c>
      <c r="D143" s="95">
        <f>Prices!$J$43</f>
        <v>260.79096045197741</v>
      </c>
      <c r="F143">
        <v>25.2</v>
      </c>
      <c r="G143" t="s">
        <v>2091</v>
      </c>
      <c r="H143" t="s">
        <v>12</v>
      </c>
      <c r="I143" t="s">
        <v>2090</v>
      </c>
      <c r="J143" t="s">
        <v>1610</v>
      </c>
      <c r="K143" t="s">
        <v>2092</v>
      </c>
    </row>
    <row r="144" spans="1:11" ht="30">
      <c r="A144" t="s">
        <v>10</v>
      </c>
      <c r="B144" s="1" t="s">
        <v>2723</v>
      </c>
      <c r="C144" t="s">
        <v>2724</v>
      </c>
      <c r="D144" s="95">
        <f>Prices!$J$45</f>
        <v>307.73333333333335</v>
      </c>
      <c r="F144">
        <v>33.869999999999997</v>
      </c>
      <c r="G144" t="s">
        <v>2725</v>
      </c>
      <c r="H144" t="s">
        <v>12</v>
      </c>
      <c r="I144" t="s">
        <v>2724</v>
      </c>
      <c r="J144" t="s">
        <v>1610</v>
      </c>
    </row>
    <row r="145" spans="1:11">
      <c r="A145" t="s">
        <v>10</v>
      </c>
      <c r="B145" t="s">
        <v>2384</v>
      </c>
      <c r="C145" t="s">
        <v>2385</v>
      </c>
      <c r="D145" s="95">
        <f>Prices!$J$45</f>
        <v>307.73333333333335</v>
      </c>
      <c r="F145">
        <v>20.100000000000001</v>
      </c>
      <c r="G145" t="s">
        <v>2386</v>
      </c>
      <c r="H145" t="s">
        <v>12</v>
      </c>
      <c r="I145" t="s">
        <v>2385</v>
      </c>
      <c r="J145" t="s">
        <v>1610</v>
      </c>
      <c r="K145" t="s">
        <v>2387</v>
      </c>
    </row>
    <row r="146" spans="1:11">
      <c r="A146" t="s">
        <v>10</v>
      </c>
      <c r="B146" t="s">
        <v>2514</v>
      </c>
      <c r="C146" t="s">
        <v>2515</v>
      </c>
      <c r="D146" s="95">
        <f>Prices!$J$45</f>
        <v>307.73333333333335</v>
      </c>
      <c r="F146">
        <v>10.42</v>
      </c>
      <c r="G146" t="s">
        <v>2516</v>
      </c>
      <c r="H146" t="s">
        <v>12</v>
      </c>
      <c r="I146" t="s">
        <v>2515</v>
      </c>
      <c r="J146" t="s">
        <v>1610</v>
      </c>
    </row>
    <row r="147" spans="1:11">
      <c r="A147" t="s">
        <v>10</v>
      </c>
      <c r="B147" t="s">
        <v>3520</v>
      </c>
      <c r="C147" t="s">
        <v>3521</v>
      </c>
      <c r="D147" s="95">
        <f>Prices!$J$45</f>
        <v>307.73333333333335</v>
      </c>
      <c r="F147">
        <v>16.239999999999998</v>
      </c>
      <c r="G147" t="s">
        <v>3522</v>
      </c>
      <c r="H147" t="s">
        <v>12</v>
      </c>
      <c r="I147" t="s">
        <v>3521</v>
      </c>
      <c r="J147" t="s">
        <v>1610</v>
      </c>
      <c r="K147" t="s">
        <v>2884</v>
      </c>
    </row>
    <row r="148" spans="1:11">
      <c r="A148" t="s">
        <v>10</v>
      </c>
      <c r="B148" t="s">
        <v>2526</v>
      </c>
      <c r="C148" t="s">
        <v>2527</v>
      </c>
      <c r="D148" s="95">
        <f>Prices!$J$45</f>
        <v>307.73333333333335</v>
      </c>
      <c r="F148">
        <v>52.39</v>
      </c>
      <c r="G148" t="s">
        <v>2528</v>
      </c>
      <c r="H148" t="s">
        <v>12</v>
      </c>
      <c r="I148" t="s">
        <v>2527</v>
      </c>
      <c r="J148" t="s">
        <v>1610</v>
      </c>
      <c r="K148" t="s">
        <v>2529</v>
      </c>
    </row>
    <row r="149" spans="1:11">
      <c r="A149" t="s">
        <v>10</v>
      </c>
      <c r="B149" t="s">
        <v>4334</v>
      </c>
      <c r="C149" t="s">
        <v>4335</v>
      </c>
      <c r="D149" s="95">
        <f>Prices!$J$45</f>
        <v>307.73333333333335</v>
      </c>
      <c r="F149">
        <v>19.34</v>
      </c>
      <c r="G149" t="s">
        <v>4336</v>
      </c>
      <c r="H149" t="s">
        <v>12</v>
      </c>
      <c r="I149" t="s">
        <v>4335</v>
      </c>
      <c r="J149" t="s">
        <v>1610</v>
      </c>
    </row>
    <row r="150" spans="1:11">
      <c r="A150" t="s">
        <v>10</v>
      </c>
      <c r="B150" t="s">
        <v>2183</v>
      </c>
      <c r="C150" t="s">
        <v>2184</v>
      </c>
      <c r="D150" s="95">
        <f>Prices!$J$45</f>
        <v>307.73333333333335</v>
      </c>
      <c r="F150">
        <v>4.05</v>
      </c>
      <c r="G150" t="s">
        <v>2185</v>
      </c>
      <c r="H150" t="s">
        <v>12</v>
      </c>
      <c r="I150" t="s">
        <v>2184</v>
      </c>
      <c r="J150" t="s">
        <v>1610</v>
      </c>
      <c r="K150" t="s">
        <v>2186</v>
      </c>
    </row>
    <row r="151" spans="1:11">
      <c r="A151" t="s">
        <v>1831</v>
      </c>
      <c r="B151" t="s">
        <v>2545</v>
      </c>
      <c r="C151" t="s">
        <v>3893</v>
      </c>
      <c r="D151" s="96">
        <f>Prices!$D$81</f>
        <v>131.73076923076923</v>
      </c>
      <c r="F151">
        <v>298.58</v>
      </c>
      <c r="G151" t="s">
        <v>3894</v>
      </c>
      <c r="H151" t="s">
        <v>12</v>
      </c>
      <c r="I151" t="s">
        <v>3893</v>
      </c>
      <c r="J151" t="s">
        <v>1610</v>
      </c>
    </row>
    <row r="152" spans="1:11">
      <c r="A152" t="s">
        <v>1831</v>
      </c>
      <c r="B152" t="s">
        <v>2545</v>
      </c>
      <c r="C152" t="s">
        <v>2546</v>
      </c>
      <c r="D152" s="96">
        <f>Prices!$D$81</f>
        <v>131.73076923076923</v>
      </c>
      <c r="F152">
        <v>445.57</v>
      </c>
      <c r="G152" t="s">
        <v>2547</v>
      </c>
      <c r="H152" t="s">
        <v>12</v>
      </c>
      <c r="I152" t="s">
        <v>2546</v>
      </c>
      <c r="J152" t="s">
        <v>1610</v>
      </c>
    </row>
    <row r="153" spans="1:11">
      <c r="A153" t="s">
        <v>1831</v>
      </c>
      <c r="B153" t="s">
        <v>2545</v>
      </c>
      <c r="C153" t="s">
        <v>4221</v>
      </c>
      <c r="D153" s="96">
        <f>Prices!$D$81</f>
        <v>131.73076923076923</v>
      </c>
      <c r="F153">
        <v>150.05000000000001</v>
      </c>
      <c r="G153" t="s">
        <v>4222</v>
      </c>
      <c r="H153" t="s">
        <v>12</v>
      </c>
      <c r="I153" t="s">
        <v>4221</v>
      </c>
      <c r="J153" t="s">
        <v>1610</v>
      </c>
    </row>
    <row r="154" spans="1:11">
      <c r="A154" t="s">
        <v>1831</v>
      </c>
      <c r="B154" t="s">
        <v>2545</v>
      </c>
      <c r="C154" t="s">
        <v>3658</v>
      </c>
      <c r="D154" s="96">
        <f>Prices!$D$81</f>
        <v>131.73076923076923</v>
      </c>
      <c r="F154">
        <v>500.43</v>
      </c>
      <c r="G154" t="s">
        <v>3659</v>
      </c>
      <c r="H154" t="s">
        <v>12</v>
      </c>
      <c r="I154" t="s">
        <v>3658</v>
      </c>
      <c r="J154" t="s">
        <v>1610</v>
      </c>
    </row>
    <row r="155" spans="1:11">
      <c r="A155" t="s">
        <v>1831</v>
      </c>
      <c r="B155" t="s">
        <v>2673</v>
      </c>
      <c r="C155" t="s">
        <v>2674</v>
      </c>
      <c r="D155" s="96">
        <f>Prices!$D$87</f>
        <v>195.71428571428572</v>
      </c>
      <c r="F155">
        <v>306.5</v>
      </c>
      <c r="G155" t="s">
        <v>2675</v>
      </c>
      <c r="H155" t="s">
        <v>12</v>
      </c>
      <c r="I155" t="s">
        <v>2674</v>
      </c>
      <c r="J155" t="s">
        <v>1610</v>
      </c>
    </row>
    <row r="156" spans="1:11">
      <c r="A156" t="s">
        <v>10</v>
      </c>
      <c r="B156" t="s">
        <v>3797</v>
      </c>
      <c r="C156" t="s">
        <v>3798</v>
      </c>
      <c r="D156" s="95">
        <f>Prices!$J$35</f>
        <v>233.13131313131314</v>
      </c>
      <c r="F156">
        <v>42.88</v>
      </c>
      <c r="G156" t="s">
        <v>3799</v>
      </c>
      <c r="H156" t="s">
        <v>12</v>
      </c>
      <c r="I156" t="s">
        <v>3798</v>
      </c>
      <c r="J156" t="s">
        <v>1610</v>
      </c>
    </row>
    <row r="157" spans="1:11">
      <c r="A157" t="s">
        <v>10</v>
      </c>
      <c r="B157" t="s">
        <v>3427</v>
      </c>
      <c r="C157" t="s">
        <v>3428</v>
      </c>
      <c r="D157" s="96">
        <f>Prices!$D$104</f>
        <v>97.938375350140063</v>
      </c>
      <c r="F157">
        <v>31.54</v>
      </c>
      <c r="G157" t="s">
        <v>3429</v>
      </c>
      <c r="H157" t="s">
        <v>12</v>
      </c>
      <c r="I157" t="s">
        <v>3428</v>
      </c>
      <c r="J157" t="s">
        <v>1610</v>
      </c>
    </row>
    <row r="158" spans="1:11">
      <c r="A158" t="s">
        <v>76</v>
      </c>
      <c r="B158" t="s">
        <v>2215</v>
      </c>
      <c r="C158" t="s">
        <v>2216</v>
      </c>
      <c r="D158" s="95">
        <f>Prices!$G$102</f>
        <v>114.16666666666667</v>
      </c>
      <c r="F158">
        <v>27.86</v>
      </c>
      <c r="G158" t="s">
        <v>2217</v>
      </c>
      <c r="H158" t="s">
        <v>12</v>
      </c>
      <c r="I158" t="s">
        <v>2216</v>
      </c>
      <c r="J158" t="s">
        <v>1610</v>
      </c>
      <c r="K158" t="s">
        <v>2088</v>
      </c>
    </row>
    <row r="159" spans="1:11">
      <c r="A159" t="s">
        <v>35</v>
      </c>
      <c r="B159" t="s">
        <v>3769</v>
      </c>
      <c r="C159" t="s">
        <v>3770</v>
      </c>
      <c r="D159" s="95">
        <v>3</v>
      </c>
      <c r="F159">
        <v>3.09</v>
      </c>
      <c r="G159" t="s">
        <v>3771</v>
      </c>
      <c r="H159" t="s">
        <v>12</v>
      </c>
      <c r="I159" t="s">
        <v>3770</v>
      </c>
      <c r="J159" t="s">
        <v>1610</v>
      </c>
    </row>
    <row r="160" spans="1:11">
      <c r="A160" t="s">
        <v>76</v>
      </c>
      <c r="B160" t="s">
        <v>191</v>
      </c>
      <c r="C160" t="s">
        <v>192</v>
      </c>
      <c r="D160" s="96">
        <v>2</v>
      </c>
      <c r="F160">
        <v>5.53</v>
      </c>
      <c r="G160" t="s">
        <v>193</v>
      </c>
      <c r="H160" t="s">
        <v>12</v>
      </c>
      <c r="I160" t="s">
        <v>192</v>
      </c>
      <c r="J160" t="s">
        <v>13</v>
      </c>
    </row>
    <row r="161" spans="1:11">
      <c r="A161" t="s">
        <v>158</v>
      </c>
      <c r="B161" t="s">
        <v>631</v>
      </c>
      <c r="C161" t="s">
        <v>632</v>
      </c>
      <c r="D161" s="96">
        <v>2</v>
      </c>
      <c r="F161">
        <v>0.33</v>
      </c>
      <c r="G161" t="s">
        <v>633</v>
      </c>
      <c r="H161" t="s">
        <v>12</v>
      </c>
      <c r="I161" t="s">
        <v>632</v>
      </c>
      <c r="J161" t="s">
        <v>13</v>
      </c>
    </row>
    <row r="162" spans="1:11">
      <c r="A162" t="s">
        <v>893</v>
      </c>
      <c r="B162" t="s">
        <v>2548</v>
      </c>
      <c r="C162" t="s">
        <v>2549</v>
      </c>
      <c r="D162" s="96">
        <f>Prices!$J$10</f>
        <v>90.234375</v>
      </c>
      <c r="F162">
        <v>2.75</v>
      </c>
      <c r="G162" t="s">
        <v>2550</v>
      </c>
      <c r="H162" t="s">
        <v>12</v>
      </c>
      <c r="I162" t="s">
        <v>2549</v>
      </c>
      <c r="J162" t="s">
        <v>1610</v>
      </c>
      <c r="K162" t="s">
        <v>2551</v>
      </c>
    </row>
    <row r="163" spans="1:11">
      <c r="A163" t="s">
        <v>23</v>
      </c>
      <c r="B163" t="s">
        <v>4279</v>
      </c>
      <c r="C163" t="s">
        <v>4280</v>
      </c>
      <c r="D163">
        <f>Prices!$J$8</f>
        <v>135.75539568345323</v>
      </c>
      <c r="F163">
        <v>58.8</v>
      </c>
      <c r="G163" t="s">
        <v>4281</v>
      </c>
      <c r="H163" t="s">
        <v>146</v>
      </c>
      <c r="I163" t="s">
        <v>4280</v>
      </c>
      <c r="J163" t="s">
        <v>1610</v>
      </c>
    </row>
    <row r="164" spans="1:11">
      <c r="A164" t="s">
        <v>10</v>
      </c>
      <c r="B164" t="s">
        <v>2784</v>
      </c>
      <c r="C164" t="s">
        <v>2785</v>
      </c>
      <c r="D164" s="96">
        <f>Prices!$J$10</f>
        <v>90.234375</v>
      </c>
      <c r="F164">
        <v>2.35</v>
      </c>
      <c r="G164" t="s">
        <v>2786</v>
      </c>
      <c r="H164" t="s">
        <v>12</v>
      </c>
      <c r="I164" t="s">
        <v>2785</v>
      </c>
      <c r="J164" t="s">
        <v>1610</v>
      </c>
    </row>
    <row r="165" spans="1:11">
      <c r="A165" t="s">
        <v>76</v>
      </c>
      <c r="B165" t="s">
        <v>2073</v>
      </c>
      <c r="C165" t="s">
        <v>2074</v>
      </c>
      <c r="D165" s="96">
        <f>Prices!$D$110</f>
        <v>95.938375350140063</v>
      </c>
      <c r="F165">
        <v>97.46</v>
      </c>
      <c r="G165" t="s">
        <v>2075</v>
      </c>
      <c r="H165" t="s">
        <v>12</v>
      </c>
      <c r="I165" t="s">
        <v>2074</v>
      </c>
      <c r="J165" t="s">
        <v>1610</v>
      </c>
      <c r="K165" t="s">
        <v>1721</v>
      </c>
    </row>
    <row r="166" spans="1:11">
      <c r="A166" t="s">
        <v>76</v>
      </c>
      <c r="B166" t="s">
        <v>1871</v>
      </c>
      <c r="C166" t="s">
        <v>1872</v>
      </c>
      <c r="D166" s="96">
        <f>Prices!$D$110</f>
        <v>95.938375350140063</v>
      </c>
      <c r="F166">
        <v>2037.04</v>
      </c>
      <c r="G166" t="s">
        <v>1873</v>
      </c>
      <c r="H166" t="s">
        <v>12</v>
      </c>
      <c r="I166" t="s">
        <v>1872</v>
      </c>
      <c r="J166" t="s">
        <v>1610</v>
      </c>
      <c r="K166" t="s">
        <v>1874</v>
      </c>
    </row>
    <row r="167" spans="1:11">
      <c r="A167" t="s">
        <v>76</v>
      </c>
      <c r="B167" t="s">
        <v>1875</v>
      </c>
      <c r="C167" t="s">
        <v>1876</v>
      </c>
      <c r="D167" s="96">
        <f>Prices!$D$110</f>
        <v>95.938375350140063</v>
      </c>
      <c r="F167">
        <v>81.540000000000006</v>
      </c>
      <c r="G167" t="s">
        <v>1877</v>
      </c>
      <c r="H167" t="s">
        <v>12</v>
      </c>
      <c r="I167" t="s">
        <v>1876</v>
      </c>
      <c r="J167" t="s">
        <v>1610</v>
      </c>
      <c r="K167" t="s">
        <v>1878</v>
      </c>
    </row>
    <row r="168" spans="1:11">
      <c r="A168" t="s">
        <v>76</v>
      </c>
      <c r="B168" t="s">
        <v>1879</v>
      </c>
      <c r="C168" t="s">
        <v>1880</v>
      </c>
      <c r="D168" s="96">
        <f>Prices!$D$110</f>
        <v>95.938375350140063</v>
      </c>
      <c r="F168">
        <v>335.15</v>
      </c>
      <c r="G168" t="s">
        <v>1881</v>
      </c>
      <c r="H168" t="s">
        <v>12</v>
      </c>
      <c r="I168" t="s">
        <v>1880</v>
      </c>
      <c r="J168" t="s">
        <v>1610</v>
      </c>
      <c r="K168" t="s">
        <v>1882</v>
      </c>
    </row>
    <row r="169" spans="1:11">
      <c r="A169" t="s">
        <v>4133</v>
      </c>
      <c r="B169" t="s">
        <v>3047</v>
      </c>
      <c r="C169" t="s">
        <v>4134</v>
      </c>
      <c r="D169" s="96">
        <f>Prices!$D$86</f>
        <v>131.73076923076923</v>
      </c>
      <c r="F169">
        <v>72.64</v>
      </c>
      <c r="G169" t="s">
        <v>4135</v>
      </c>
      <c r="H169" t="s">
        <v>12</v>
      </c>
      <c r="I169" t="s">
        <v>4134</v>
      </c>
      <c r="J169" t="s">
        <v>1610</v>
      </c>
      <c r="K169" t="s">
        <v>4136</v>
      </c>
    </row>
    <row r="170" spans="1:11">
      <c r="A170" t="s">
        <v>76</v>
      </c>
      <c r="B170" t="s">
        <v>2558</v>
      </c>
      <c r="C170" t="s">
        <v>2559</v>
      </c>
      <c r="D170" s="96">
        <f>Prices!$D$86</f>
        <v>131.73076923076923</v>
      </c>
      <c r="F170">
        <v>15.23</v>
      </c>
      <c r="G170" t="s">
        <v>2560</v>
      </c>
      <c r="H170" t="s">
        <v>12</v>
      </c>
      <c r="I170" t="s">
        <v>2559</v>
      </c>
      <c r="J170" t="s">
        <v>1610</v>
      </c>
      <c r="K170" t="s">
        <v>2561</v>
      </c>
    </row>
    <row r="171" spans="1:11">
      <c r="A171" t="s">
        <v>76</v>
      </c>
      <c r="B171" t="s">
        <v>4547</v>
      </c>
      <c r="C171" t="s">
        <v>4548</v>
      </c>
      <c r="D171" s="96">
        <f>Prices!$D$83</f>
        <v>129.24528301886792</v>
      </c>
      <c r="F171">
        <v>11.12</v>
      </c>
      <c r="G171" t="s">
        <v>4549</v>
      </c>
      <c r="H171" t="s">
        <v>12</v>
      </c>
      <c r="I171" t="s">
        <v>4548</v>
      </c>
      <c r="J171" t="s">
        <v>1610</v>
      </c>
      <c r="K171" t="s">
        <v>2044</v>
      </c>
    </row>
    <row r="172" spans="1:11">
      <c r="A172" t="s">
        <v>1831</v>
      </c>
      <c r="B172" t="s">
        <v>4120</v>
      </c>
      <c r="C172" t="s">
        <v>4121</v>
      </c>
      <c r="D172" s="96">
        <f>Prices!$D$83</f>
        <v>129.24528301886792</v>
      </c>
      <c r="F172">
        <v>23.93</v>
      </c>
      <c r="G172" t="s">
        <v>4122</v>
      </c>
      <c r="H172" t="s">
        <v>12</v>
      </c>
      <c r="I172" t="s">
        <v>4121</v>
      </c>
      <c r="J172" t="s">
        <v>1610</v>
      </c>
      <c r="K172" t="s">
        <v>4123</v>
      </c>
    </row>
    <row r="173" spans="1:11">
      <c r="A173" t="s">
        <v>1317</v>
      </c>
      <c r="B173" t="s">
        <v>3058</v>
      </c>
      <c r="C173" t="s">
        <v>3059</v>
      </c>
      <c r="D173" s="96">
        <f>Prices!$D$83</f>
        <v>129.24528301886792</v>
      </c>
      <c r="F173">
        <v>0</v>
      </c>
      <c r="G173" t="s">
        <v>3060</v>
      </c>
      <c r="I173" t="s">
        <v>3059</v>
      </c>
      <c r="J173" t="s">
        <v>1610</v>
      </c>
      <c r="K173" t="s">
        <v>3061</v>
      </c>
    </row>
    <row r="174" spans="1:11">
      <c r="A174" t="s">
        <v>1831</v>
      </c>
      <c r="B174" t="s">
        <v>1832</v>
      </c>
      <c r="C174" t="s">
        <v>1833</v>
      </c>
      <c r="D174" s="96">
        <f>Prices!$D$83</f>
        <v>129.24528301886792</v>
      </c>
      <c r="F174">
        <v>781.81</v>
      </c>
      <c r="G174" t="s">
        <v>1834</v>
      </c>
      <c r="H174" t="s">
        <v>12</v>
      </c>
      <c r="I174" t="s">
        <v>1833</v>
      </c>
      <c r="J174" t="s">
        <v>1610</v>
      </c>
    </row>
    <row r="175" spans="1:11">
      <c r="A175" t="s">
        <v>10</v>
      </c>
      <c r="B175" t="s">
        <v>3497</v>
      </c>
      <c r="C175" t="s">
        <v>3498</v>
      </c>
      <c r="D175" s="96">
        <f>Prices!$D$104</f>
        <v>97.938375350140063</v>
      </c>
      <c r="F175">
        <v>12.16</v>
      </c>
      <c r="G175" t="s">
        <v>3499</v>
      </c>
      <c r="H175" t="s">
        <v>12</v>
      </c>
      <c r="I175" t="s">
        <v>3498</v>
      </c>
      <c r="J175" t="s">
        <v>1610</v>
      </c>
      <c r="K175" t="s">
        <v>2670</v>
      </c>
    </row>
    <row r="176" spans="1:11">
      <c r="A176" t="s">
        <v>76</v>
      </c>
      <c r="B176" t="s">
        <v>4606</v>
      </c>
      <c r="C176" t="s">
        <v>4607</v>
      </c>
      <c r="D176" s="96">
        <f>Prices!$D$104</f>
        <v>97.938375350140063</v>
      </c>
      <c r="F176">
        <v>87.1</v>
      </c>
      <c r="G176" t="s">
        <v>4608</v>
      </c>
      <c r="H176" t="s">
        <v>12</v>
      </c>
      <c r="I176" t="s">
        <v>4607</v>
      </c>
      <c r="J176" t="s">
        <v>1610</v>
      </c>
      <c r="K176" t="s">
        <v>4609</v>
      </c>
    </row>
    <row r="177" spans="1:11">
      <c r="A177" t="s">
        <v>48</v>
      </c>
      <c r="B177" t="s">
        <v>4618</v>
      </c>
      <c r="C177" t="s">
        <v>4619</v>
      </c>
      <c r="D177" s="96">
        <f>Prices!$D$104</f>
        <v>97.938375350140063</v>
      </c>
      <c r="F177">
        <v>1.34</v>
      </c>
      <c r="G177" t="s">
        <v>4620</v>
      </c>
      <c r="H177" t="s">
        <v>12</v>
      </c>
      <c r="I177" t="s">
        <v>4619</v>
      </c>
      <c r="J177" t="s">
        <v>1610</v>
      </c>
      <c r="K177" t="s">
        <v>4621</v>
      </c>
    </row>
    <row r="178" spans="1:11">
      <c r="A178" t="s">
        <v>76</v>
      </c>
      <c r="B178" t="s">
        <v>4591</v>
      </c>
      <c r="C178" t="s">
        <v>4592</v>
      </c>
      <c r="D178" s="96">
        <f>Prices!$D$104</f>
        <v>97.938375350140063</v>
      </c>
      <c r="F178">
        <v>0.03</v>
      </c>
      <c r="G178" t="s">
        <v>4593</v>
      </c>
      <c r="H178" t="s">
        <v>12</v>
      </c>
      <c r="I178" t="s">
        <v>4592</v>
      </c>
      <c r="J178" t="s">
        <v>1610</v>
      </c>
      <c r="K178" t="s">
        <v>4594</v>
      </c>
    </row>
    <row r="179" spans="1:11">
      <c r="A179" t="s">
        <v>76</v>
      </c>
      <c r="B179" t="s">
        <v>4595</v>
      </c>
      <c r="C179" t="s">
        <v>4596</v>
      </c>
      <c r="D179" s="96">
        <f>Prices!$D$104</f>
        <v>97.938375350140063</v>
      </c>
      <c r="F179">
        <v>382.86</v>
      </c>
      <c r="G179" t="s">
        <v>4597</v>
      </c>
      <c r="H179" t="s">
        <v>12</v>
      </c>
      <c r="I179" t="s">
        <v>4596</v>
      </c>
      <c r="J179" t="s">
        <v>1610</v>
      </c>
      <c r="K179" t="s">
        <v>4598</v>
      </c>
    </row>
    <row r="180" spans="1:11">
      <c r="A180" t="s">
        <v>76</v>
      </c>
      <c r="B180" t="s">
        <v>2082</v>
      </c>
      <c r="C180" t="s">
        <v>2083</v>
      </c>
      <c r="D180" s="96">
        <f>Prices!$D$104</f>
        <v>97.938375350140063</v>
      </c>
      <c r="F180">
        <v>45.54</v>
      </c>
      <c r="G180" t="s">
        <v>2084</v>
      </c>
      <c r="H180" t="s">
        <v>12</v>
      </c>
      <c r="I180" t="s">
        <v>2083</v>
      </c>
      <c r="J180" t="s">
        <v>1610</v>
      </c>
      <c r="K180" t="s">
        <v>2085</v>
      </c>
    </row>
    <row r="181" spans="1:11">
      <c r="A181" t="s">
        <v>76</v>
      </c>
      <c r="B181" t="s">
        <v>2086</v>
      </c>
      <c r="C181" t="s">
        <v>2087</v>
      </c>
      <c r="D181" s="96">
        <f>Prices!$D$104</f>
        <v>97.938375350140063</v>
      </c>
      <c r="F181">
        <v>190.73</v>
      </c>
      <c r="G181" t="s">
        <v>2512</v>
      </c>
      <c r="H181" t="s">
        <v>12</v>
      </c>
      <c r="I181" t="s">
        <v>2087</v>
      </c>
      <c r="J181" t="s">
        <v>1610</v>
      </c>
      <c r="K181" t="s">
        <v>2513</v>
      </c>
    </row>
    <row r="182" spans="1:11">
      <c r="A182" t="s">
        <v>76</v>
      </c>
      <c r="B182" t="s">
        <v>4583</v>
      </c>
      <c r="C182" t="s">
        <v>4584</v>
      </c>
      <c r="D182" s="96">
        <f>Prices!$D$104</f>
        <v>97.938375350140063</v>
      </c>
      <c r="F182">
        <v>29.85</v>
      </c>
      <c r="G182" t="s">
        <v>4585</v>
      </c>
      <c r="H182" t="s">
        <v>12</v>
      </c>
      <c r="I182" t="s">
        <v>4584</v>
      </c>
      <c r="J182" t="s">
        <v>1610</v>
      </c>
      <c r="K182" t="s">
        <v>4586</v>
      </c>
    </row>
    <row r="183" spans="1:11">
      <c r="A183" t="s">
        <v>76</v>
      </c>
      <c r="B183" t="s">
        <v>4587</v>
      </c>
      <c r="C183" t="s">
        <v>4588</v>
      </c>
      <c r="D183" s="96">
        <f>Prices!$D$104</f>
        <v>97.938375350140063</v>
      </c>
      <c r="F183">
        <v>271.07</v>
      </c>
      <c r="G183" t="s">
        <v>4589</v>
      </c>
      <c r="H183" t="s">
        <v>12</v>
      </c>
      <c r="I183" t="s">
        <v>4588</v>
      </c>
      <c r="J183" t="s">
        <v>1610</v>
      </c>
      <c r="K183" t="s">
        <v>4590</v>
      </c>
    </row>
    <row r="184" spans="1:11">
      <c r="A184" t="s">
        <v>76</v>
      </c>
      <c r="B184" t="s">
        <v>4614</v>
      </c>
      <c r="C184" t="s">
        <v>4615</v>
      </c>
      <c r="D184" s="96">
        <f>Prices!$D$86</f>
        <v>131.73076923076923</v>
      </c>
      <c r="F184">
        <v>16.04</v>
      </c>
      <c r="G184" t="s">
        <v>4616</v>
      </c>
      <c r="H184" t="s">
        <v>12</v>
      </c>
      <c r="I184" t="s">
        <v>4615</v>
      </c>
      <c r="J184" t="s">
        <v>1610</v>
      </c>
      <c r="K184" t="s">
        <v>4617</v>
      </c>
    </row>
    <row r="185" spans="1:11">
      <c r="A185" t="s">
        <v>1317</v>
      </c>
      <c r="B185" t="s">
        <v>3787</v>
      </c>
      <c r="C185" t="s">
        <v>3788</v>
      </c>
      <c r="D185" s="96">
        <f>Prices!$D$83</f>
        <v>129.24528301886792</v>
      </c>
      <c r="F185">
        <v>1.34</v>
      </c>
      <c r="G185" t="s">
        <v>3789</v>
      </c>
      <c r="H185" t="s">
        <v>12</v>
      </c>
      <c r="I185" t="s">
        <v>3788</v>
      </c>
      <c r="J185" t="s">
        <v>1610</v>
      </c>
      <c r="K185" t="s">
        <v>3790</v>
      </c>
    </row>
    <row r="186" spans="1:11">
      <c r="A186" t="s">
        <v>1317</v>
      </c>
      <c r="B186" t="s">
        <v>3814</v>
      </c>
      <c r="C186" t="s">
        <v>3815</v>
      </c>
      <c r="D186" s="96">
        <f>Prices!$D$83</f>
        <v>129.24528301886792</v>
      </c>
      <c r="F186">
        <v>125.31</v>
      </c>
      <c r="G186" t="s">
        <v>3816</v>
      </c>
      <c r="H186" t="s">
        <v>12</v>
      </c>
      <c r="I186" t="s">
        <v>3815</v>
      </c>
      <c r="J186" t="s">
        <v>1610</v>
      </c>
      <c r="K186" t="s">
        <v>3817</v>
      </c>
    </row>
    <row r="187" spans="1:11">
      <c r="A187" t="s">
        <v>1831</v>
      </c>
      <c r="B187" t="s">
        <v>4021</v>
      </c>
      <c r="C187" t="s">
        <v>4022</v>
      </c>
      <c r="D187" s="96">
        <f>Prices!$D$83</f>
        <v>129.24528301886792</v>
      </c>
      <c r="F187">
        <v>802</v>
      </c>
      <c r="G187" t="s">
        <v>4023</v>
      </c>
      <c r="H187" t="s">
        <v>12</v>
      </c>
      <c r="I187" t="s">
        <v>4022</v>
      </c>
      <c r="J187" t="s">
        <v>1610</v>
      </c>
    </row>
    <row r="188" spans="1:11">
      <c r="A188" t="s">
        <v>158</v>
      </c>
      <c r="B188" t="s">
        <v>2115</v>
      </c>
      <c r="C188" t="s">
        <v>4566</v>
      </c>
      <c r="D188">
        <f>Prices!$D$87</f>
        <v>195.71428571428572</v>
      </c>
      <c r="F188">
        <v>40.94</v>
      </c>
      <c r="G188" t="s">
        <v>4567</v>
      </c>
      <c r="H188" t="s">
        <v>12</v>
      </c>
      <c r="I188" t="s">
        <v>4566</v>
      </c>
      <c r="J188" t="s">
        <v>1610</v>
      </c>
      <c r="K188" t="s">
        <v>2118</v>
      </c>
    </row>
    <row r="189" spans="1:11">
      <c r="A189" t="s">
        <v>158</v>
      </c>
      <c r="B189" t="s">
        <v>2115</v>
      </c>
      <c r="C189" t="s">
        <v>4568</v>
      </c>
      <c r="D189">
        <f>Prices!$D$87</f>
        <v>195.71428571428572</v>
      </c>
      <c r="F189">
        <v>0.59</v>
      </c>
      <c r="G189" t="s">
        <v>4569</v>
      </c>
      <c r="H189" t="s">
        <v>12</v>
      </c>
      <c r="I189" t="s">
        <v>4568</v>
      </c>
      <c r="J189" t="s">
        <v>1610</v>
      </c>
      <c r="K189" t="s">
        <v>2118</v>
      </c>
    </row>
    <row r="190" spans="1:11">
      <c r="A190" t="s">
        <v>76</v>
      </c>
      <c r="B190" t="s">
        <v>2115</v>
      </c>
      <c r="C190" t="s">
        <v>4570</v>
      </c>
      <c r="D190">
        <f>Prices!$D$87</f>
        <v>195.71428571428572</v>
      </c>
      <c r="F190">
        <v>36.14</v>
      </c>
      <c r="G190" t="s">
        <v>4571</v>
      </c>
      <c r="H190" t="s">
        <v>12</v>
      </c>
      <c r="I190" t="s">
        <v>4570</v>
      </c>
      <c r="J190" t="s">
        <v>1610</v>
      </c>
      <c r="K190" t="s">
        <v>2118</v>
      </c>
    </row>
    <row r="191" spans="1:11">
      <c r="A191" t="s">
        <v>76</v>
      </c>
      <c r="B191" t="s">
        <v>2115</v>
      </c>
      <c r="C191" t="s">
        <v>4572</v>
      </c>
      <c r="D191">
        <f>Prices!$D$87</f>
        <v>195.71428571428572</v>
      </c>
      <c r="F191">
        <v>1.17</v>
      </c>
      <c r="G191" t="s">
        <v>4573</v>
      </c>
      <c r="H191" t="s">
        <v>12</v>
      </c>
      <c r="I191" t="s">
        <v>4572</v>
      </c>
      <c r="J191" t="s">
        <v>1610</v>
      </c>
      <c r="K191" t="s">
        <v>2118</v>
      </c>
    </row>
    <row r="192" spans="1:11">
      <c r="A192" t="s">
        <v>48</v>
      </c>
      <c r="B192" t="s">
        <v>2115</v>
      </c>
      <c r="C192" t="s">
        <v>2116</v>
      </c>
      <c r="D192">
        <f>Prices!$D$87</f>
        <v>195.71428571428572</v>
      </c>
      <c r="F192">
        <v>4.37</v>
      </c>
      <c r="G192" t="s">
        <v>2117</v>
      </c>
      <c r="H192" t="s">
        <v>12</v>
      </c>
      <c r="I192" t="s">
        <v>2116</v>
      </c>
      <c r="J192" t="s">
        <v>1610</v>
      </c>
      <c r="K192" t="s">
        <v>2118</v>
      </c>
    </row>
    <row r="193" spans="1:11">
      <c r="A193" t="s">
        <v>1831</v>
      </c>
      <c r="B193" t="s">
        <v>3948</v>
      </c>
      <c r="C193" t="s">
        <v>3949</v>
      </c>
      <c r="D193" s="96">
        <f>Prices!$D$83</f>
        <v>129.24528301886792</v>
      </c>
      <c r="F193">
        <v>792.4</v>
      </c>
      <c r="G193" t="s">
        <v>3950</v>
      </c>
      <c r="H193" t="s">
        <v>12</v>
      </c>
      <c r="I193" t="s">
        <v>3949</v>
      </c>
      <c r="J193" t="s">
        <v>1610</v>
      </c>
    </row>
    <row r="194" spans="1:11">
      <c r="A194" t="s">
        <v>10</v>
      </c>
      <c r="B194" t="s">
        <v>3829</v>
      </c>
      <c r="C194" t="s">
        <v>3830</v>
      </c>
      <c r="D194" s="96">
        <f>Prices!$D$104</f>
        <v>97.938375350140063</v>
      </c>
      <c r="F194">
        <v>1.57</v>
      </c>
      <c r="G194" t="s">
        <v>3831</v>
      </c>
      <c r="H194" t="s">
        <v>12</v>
      </c>
      <c r="I194" t="s">
        <v>3830</v>
      </c>
      <c r="J194" t="s">
        <v>1610</v>
      </c>
      <c r="K194" t="s">
        <v>2539</v>
      </c>
    </row>
    <row r="195" spans="1:11">
      <c r="A195" t="s">
        <v>1831</v>
      </c>
      <c r="B195" t="s">
        <v>3353</v>
      </c>
      <c r="C195" t="s">
        <v>3354</v>
      </c>
      <c r="D195" s="96">
        <f>Prices!$D$83</f>
        <v>129.24528301886792</v>
      </c>
      <c r="F195">
        <v>0</v>
      </c>
      <c r="G195" t="s">
        <v>3355</v>
      </c>
      <c r="I195" t="s">
        <v>3354</v>
      </c>
      <c r="J195" t="s">
        <v>1610</v>
      </c>
      <c r="K195" t="s">
        <v>3356</v>
      </c>
    </row>
    <row r="196" spans="1:11">
      <c r="A196" t="s">
        <v>76</v>
      </c>
      <c r="B196" t="s">
        <v>4554</v>
      </c>
      <c r="C196" t="s">
        <v>4555</v>
      </c>
      <c r="D196" s="96">
        <f>Prices!$D$82</f>
        <v>126.85185185185185</v>
      </c>
      <c r="F196">
        <v>4.5599999999999996</v>
      </c>
      <c r="G196" t="s">
        <v>4556</v>
      </c>
      <c r="H196" t="s">
        <v>12</v>
      </c>
      <c r="I196" t="s">
        <v>4555</v>
      </c>
      <c r="J196" t="s">
        <v>1610</v>
      </c>
      <c r="K196" t="s">
        <v>4557</v>
      </c>
    </row>
    <row r="197" spans="1:11">
      <c r="A197" t="s">
        <v>76</v>
      </c>
      <c r="B197" t="s">
        <v>4539</v>
      </c>
      <c r="C197" t="s">
        <v>4540</v>
      </c>
      <c r="D197" s="96">
        <f>Prices!$D$104</f>
        <v>97.938375350140063</v>
      </c>
      <c r="F197">
        <v>0.08</v>
      </c>
      <c r="G197" t="s">
        <v>4541</v>
      </c>
      <c r="H197" t="s">
        <v>12</v>
      </c>
      <c r="I197" t="s">
        <v>4540</v>
      </c>
      <c r="J197" t="s">
        <v>1610</v>
      </c>
      <c r="K197" t="s">
        <v>4542</v>
      </c>
    </row>
    <row r="198" spans="1:11">
      <c r="A198" t="s">
        <v>1831</v>
      </c>
      <c r="B198" t="s">
        <v>2589</v>
      </c>
      <c r="C198" t="s">
        <v>2590</v>
      </c>
      <c r="D198" s="96">
        <f>Prices!$D$83</f>
        <v>129.24528301886792</v>
      </c>
      <c r="F198">
        <v>12.7</v>
      </c>
      <c r="G198" t="s">
        <v>2591</v>
      </c>
      <c r="H198" t="s">
        <v>12</v>
      </c>
      <c r="I198" t="s">
        <v>2590</v>
      </c>
      <c r="J198" t="s">
        <v>1610</v>
      </c>
      <c r="K198" t="s">
        <v>2592</v>
      </c>
    </row>
    <row r="199" spans="1:11">
      <c r="A199" t="s">
        <v>76</v>
      </c>
      <c r="B199" t="s">
        <v>4602</v>
      </c>
      <c r="C199" t="s">
        <v>4603</v>
      </c>
      <c r="D199" s="96">
        <f>Prices!$D$104</f>
        <v>97.938375350140063</v>
      </c>
      <c r="F199">
        <v>67.38</v>
      </c>
      <c r="G199" t="s">
        <v>4604</v>
      </c>
      <c r="H199" t="s">
        <v>12</v>
      </c>
      <c r="I199" t="s">
        <v>4603</v>
      </c>
      <c r="J199" t="s">
        <v>1610</v>
      </c>
      <c r="K199" t="s">
        <v>4605</v>
      </c>
    </row>
    <row r="200" spans="1:11">
      <c r="A200" t="s">
        <v>76</v>
      </c>
      <c r="B200" t="s">
        <v>2413</v>
      </c>
      <c r="C200" t="s">
        <v>2414</v>
      </c>
      <c r="D200" s="96">
        <f>Prices!$D$82</f>
        <v>126.85185185185185</v>
      </c>
      <c r="F200">
        <v>2.67</v>
      </c>
      <c r="G200" t="s">
        <v>2415</v>
      </c>
      <c r="H200" t="s">
        <v>12</v>
      </c>
      <c r="I200" t="s">
        <v>2414</v>
      </c>
      <c r="J200" t="s">
        <v>1610</v>
      </c>
      <c r="K200" t="s">
        <v>2416</v>
      </c>
    </row>
    <row r="201" spans="1:11">
      <c r="A201" t="s">
        <v>76</v>
      </c>
      <c r="B201" t="s">
        <v>2962</v>
      </c>
      <c r="C201" t="s">
        <v>2963</v>
      </c>
      <c r="D201" s="96">
        <f>Prices!$D$104</f>
        <v>97.938375350140063</v>
      </c>
      <c r="F201">
        <v>0</v>
      </c>
      <c r="G201" t="s">
        <v>2964</v>
      </c>
      <c r="I201" t="s">
        <v>2963</v>
      </c>
      <c r="J201" t="s">
        <v>1610</v>
      </c>
      <c r="K201" t="s">
        <v>2965</v>
      </c>
    </row>
    <row r="202" spans="1:11">
      <c r="A202" t="s">
        <v>76</v>
      </c>
      <c r="B202" t="s">
        <v>4599</v>
      </c>
      <c r="C202" t="s">
        <v>4600</v>
      </c>
      <c r="D202" s="96">
        <f>Prices!$D$104</f>
        <v>97.938375350140063</v>
      </c>
      <c r="F202">
        <v>74.760000000000005</v>
      </c>
      <c r="G202" t="s">
        <v>4601</v>
      </c>
      <c r="H202" t="s">
        <v>12</v>
      </c>
      <c r="I202" t="s">
        <v>4600</v>
      </c>
      <c r="J202" t="s">
        <v>1610</v>
      </c>
    </row>
    <row r="203" spans="1:11">
      <c r="A203" t="s">
        <v>1831</v>
      </c>
      <c r="B203" t="s">
        <v>4000</v>
      </c>
      <c r="C203" t="s">
        <v>4001</v>
      </c>
      <c r="D203" s="96">
        <f>Prices!$D$81</f>
        <v>131.73076923076923</v>
      </c>
      <c r="F203">
        <v>20.21</v>
      </c>
      <c r="G203" t="s">
        <v>4002</v>
      </c>
      <c r="H203" t="s">
        <v>12</v>
      </c>
      <c r="I203" t="s">
        <v>4001</v>
      </c>
      <c r="J203" t="s">
        <v>1610</v>
      </c>
    </row>
    <row r="204" spans="1:11">
      <c r="A204" t="s">
        <v>158</v>
      </c>
      <c r="B204" t="s">
        <v>2299</v>
      </c>
      <c r="C204" t="s">
        <v>2300</v>
      </c>
      <c r="D204" s="96">
        <f>Prices!$D$87</f>
        <v>195.71428571428572</v>
      </c>
      <c r="F204">
        <v>34.85</v>
      </c>
      <c r="G204" t="s">
        <v>2301</v>
      </c>
      <c r="H204" t="s">
        <v>12</v>
      </c>
      <c r="I204" t="s">
        <v>2300</v>
      </c>
      <c r="J204" t="s">
        <v>1610</v>
      </c>
      <c r="K204" t="s">
        <v>2118</v>
      </c>
    </row>
    <row r="205" spans="1:11">
      <c r="A205" t="s">
        <v>76</v>
      </c>
      <c r="B205" t="s">
        <v>3440</v>
      </c>
      <c r="C205" t="s">
        <v>3441</v>
      </c>
      <c r="D205" s="96">
        <f>Prices!$D$87</f>
        <v>195.71428571428572</v>
      </c>
      <c r="F205">
        <v>0.83</v>
      </c>
      <c r="G205" t="s">
        <v>3442</v>
      </c>
      <c r="H205" t="s">
        <v>12</v>
      </c>
      <c r="I205" t="s">
        <v>3441</v>
      </c>
      <c r="J205" t="s">
        <v>1610</v>
      </c>
      <c r="K205" t="s">
        <v>3443</v>
      </c>
    </row>
    <row r="206" spans="1:11">
      <c r="A206" t="s">
        <v>10</v>
      </c>
      <c r="B206" t="s">
        <v>4305</v>
      </c>
      <c r="C206" t="s">
        <v>4306</v>
      </c>
      <c r="D206" s="96">
        <f>Prices!$D$104</f>
        <v>97.938375350140063</v>
      </c>
      <c r="F206">
        <v>3.31</v>
      </c>
      <c r="G206" t="s">
        <v>4307</v>
      </c>
      <c r="H206" t="s">
        <v>12</v>
      </c>
      <c r="I206" t="s">
        <v>4306</v>
      </c>
      <c r="J206" t="s">
        <v>1610</v>
      </c>
      <c r="K206" t="s">
        <v>2539</v>
      </c>
    </row>
    <row r="207" spans="1:11">
      <c r="A207" t="s">
        <v>1831</v>
      </c>
      <c r="B207" t="s">
        <v>4550</v>
      </c>
      <c r="C207" t="s">
        <v>4551</v>
      </c>
      <c r="D207" s="96">
        <f>Prices!$D$83</f>
        <v>129.24528301886792</v>
      </c>
      <c r="F207">
        <v>77.239999999999995</v>
      </c>
      <c r="G207" t="s">
        <v>4552</v>
      </c>
      <c r="H207" t="s">
        <v>12</v>
      </c>
      <c r="I207" t="s">
        <v>4551</v>
      </c>
      <c r="J207" t="s">
        <v>1610</v>
      </c>
      <c r="K207" t="s">
        <v>4553</v>
      </c>
    </row>
    <row r="208" spans="1:11">
      <c r="A208" t="s">
        <v>76</v>
      </c>
      <c r="B208" t="s">
        <v>4558</v>
      </c>
      <c r="C208" t="s">
        <v>4559</v>
      </c>
      <c r="D208" s="96">
        <f>Prices!$D$82</f>
        <v>126.85185185185185</v>
      </c>
      <c r="F208">
        <v>26.65</v>
      </c>
      <c r="G208" t="s">
        <v>4560</v>
      </c>
      <c r="H208" t="s">
        <v>12</v>
      </c>
      <c r="I208" t="s">
        <v>4559</v>
      </c>
      <c r="J208" t="s">
        <v>1610</v>
      </c>
      <c r="K208" t="s">
        <v>4561</v>
      </c>
    </row>
    <row r="209" spans="1:11">
      <c r="A209" t="s">
        <v>76</v>
      </c>
      <c r="B209" t="s">
        <v>4543</v>
      </c>
      <c r="C209" t="s">
        <v>4544</v>
      </c>
      <c r="D209" s="96">
        <f>Prices!$D$104</f>
        <v>97.938375350140063</v>
      </c>
      <c r="F209">
        <v>48.61</v>
      </c>
      <c r="G209" t="s">
        <v>4545</v>
      </c>
      <c r="H209" t="s">
        <v>12</v>
      </c>
      <c r="I209" t="s">
        <v>4544</v>
      </c>
      <c r="J209" t="s">
        <v>1610</v>
      </c>
      <c r="K209" t="s">
        <v>4546</v>
      </c>
    </row>
    <row r="210" spans="1:11">
      <c r="A210" t="s">
        <v>76</v>
      </c>
      <c r="B210" t="s">
        <v>3381</v>
      </c>
      <c r="C210" t="s">
        <v>3382</v>
      </c>
      <c r="D210" s="96">
        <f>Prices!$D$86</f>
        <v>131.73076923076923</v>
      </c>
      <c r="F210">
        <v>0</v>
      </c>
      <c r="G210" t="s">
        <v>3383</v>
      </c>
      <c r="I210" t="s">
        <v>3382</v>
      </c>
      <c r="J210" t="s">
        <v>1610</v>
      </c>
      <c r="K210" t="s">
        <v>3384</v>
      </c>
    </row>
    <row r="211" spans="1:11">
      <c r="A211" t="s">
        <v>76</v>
      </c>
      <c r="B211" t="s">
        <v>2569</v>
      </c>
      <c r="C211" t="s">
        <v>2570</v>
      </c>
      <c r="D211" s="96">
        <f>Prices!$D$87</f>
        <v>195.71428571428572</v>
      </c>
      <c r="F211">
        <v>4.54</v>
      </c>
      <c r="G211" t="s">
        <v>2571</v>
      </c>
      <c r="H211" t="s">
        <v>12</v>
      </c>
      <c r="I211" t="s">
        <v>2570</v>
      </c>
      <c r="J211" t="s">
        <v>1610</v>
      </c>
      <c r="K211" t="s">
        <v>2572</v>
      </c>
    </row>
    <row r="212" spans="1:11">
      <c r="A212" t="s">
        <v>10</v>
      </c>
      <c r="B212" t="s">
        <v>2536</v>
      </c>
      <c r="C212" t="s">
        <v>2537</v>
      </c>
      <c r="D212" s="96">
        <f>Prices!$D$104</f>
        <v>97.938375350140063</v>
      </c>
      <c r="F212">
        <v>17.04</v>
      </c>
      <c r="G212" t="s">
        <v>2538</v>
      </c>
      <c r="H212" t="s">
        <v>12</v>
      </c>
      <c r="I212" t="s">
        <v>2537</v>
      </c>
      <c r="J212" t="s">
        <v>1610</v>
      </c>
      <c r="K212" t="s">
        <v>2539</v>
      </c>
    </row>
    <row r="213" spans="1:11">
      <c r="A213" t="s">
        <v>10</v>
      </c>
      <c r="B213" t="s">
        <v>2755</v>
      </c>
      <c r="C213" t="s">
        <v>2756</v>
      </c>
      <c r="D213" s="96">
        <f>Prices!$D$104</f>
        <v>97.938375350140063</v>
      </c>
      <c r="F213">
        <v>8.14</v>
      </c>
      <c r="G213" t="s">
        <v>2757</v>
      </c>
      <c r="H213" t="s">
        <v>12</v>
      </c>
      <c r="I213" t="s">
        <v>2756</v>
      </c>
      <c r="J213" t="s">
        <v>1610</v>
      </c>
    </row>
    <row r="214" spans="1:11">
      <c r="A214" t="s">
        <v>76</v>
      </c>
      <c r="B214" t="s">
        <v>4610</v>
      </c>
      <c r="C214" t="s">
        <v>4611</v>
      </c>
      <c r="D214" s="96">
        <f>Prices!$D$104</f>
        <v>97.938375350140063</v>
      </c>
      <c r="F214">
        <v>5.32</v>
      </c>
      <c r="G214" t="s">
        <v>4612</v>
      </c>
      <c r="H214" t="s">
        <v>12</v>
      </c>
      <c r="I214" t="s">
        <v>4611</v>
      </c>
      <c r="J214" t="s">
        <v>1610</v>
      </c>
      <c r="K214" t="s">
        <v>4613</v>
      </c>
    </row>
    <row r="215" spans="1:11">
      <c r="A215" t="s">
        <v>158</v>
      </c>
      <c r="B215" t="s">
        <v>2304</v>
      </c>
      <c r="C215" t="s">
        <v>2305</v>
      </c>
      <c r="D215" s="96">
        <f>Prices!$D$87</f>
        <v>195.71428571428572</v>
      </c>
      <c r="F215">
        <v>17</v>
      </c>
      <c r="G215" t="s">
        <v>2306</v>
      </c>
      <c r="H215" t="s">
        <v>12</v>
      </c>
      <c r="I215" t="s">
        <v>2305</v>
      </c>
      <c r="J215" t="s">
        <v>1610</v>
      </c>
      <c r="K215" t="s">
        <v>2307</v>
      </c>
    </row>
    <row r="216" spans="1:11">
      <c r="A216" t="s">
        <v>76</v>
      </c>
      <c r="B216" t="s">
        <v>3047</v>
      </c>
      <c r="C216" t="s">
        <v>3048</v>
      </c>
      <c r="D216" s="96">
        <f>Prices!$D$86</f>
        <v>131.73076923076923</v>
      </c>
      <c r="F216">
        <v>0</v>
      </c>
      <c r="G216" t="s">
        <v>3049</v>
      </c>
      <c r="I216" t="s">
        <v>3048</v>
      </c>
      <c r="J216" t="s">
        <v>1610</v>
      </c>
      <c r="K216" t="s">
        <v>3050</v>
      </c>
    </row>
    <row r="217" spans="1:11">
      <c r="A217" t="s">
        <v>76</v>
      </c>
      <c r="B217" t="s">
        <v>2480</v>
      </c>
      <c r="C217" t="s">
        <v>2481</v>
      </c>
      <c r="D217" s="96">
        <f>Prices!$D$87</f>
        <v>195.71428571428572</v>
      </c>
      <c r="F217">
        <v>0.76</v>
      </c>
      <c r="G217" t="s">
        <v>2482</v>
      </c>
      <c r="H217" t="s">
        <v>12</v>
      </c>
      <c r="I217" t="s">
        <v>2481</v>
      </c>
      <c r="J217" t="s">
        <v>1610</v>
      </c>
      <c r="K217" t="s">
        <v>2483</v>
      </c>
    </row>
    <row r="218" spans="1:11">
      <c r="A218" t="s">
        <v>10</v>
      </c>
      <c r="B218" t="s">
        <v>3437</v>
      </c>
      <c r="C218" t="s">
        <v>3438</v>
      </c>
      <c r="D218" s="96">
        <f>Prices!$D$104</f>
        <v>97.938375350140063</v>
      </c>
      <c r="F218">
        <v>4.1399999999999997</v>
      </c>
      <c r="G218" t="s">
        <v>3439</v>
      </c>
      <c r="H218" t="s">
        <v>12</v>
      </c>
      <c r="I218" t="s">
        <v>3438</v>
      </c>
      <c r="J218" t="s">
        <v>1610</v>
      </c>
    </row>
    <row r="219" spans="1:11">
      <c r="A219" t="s">
        <v>76</v>
      </c>
      <c r="B219" t="s">
        <v>4562</v>
      </c>
      <c r="C219" t="s">
        <v>4563</v>
      </c>
      <c r="D219" s="96">
        <f>Prices!$D$82</f>
        <v>126.85185185185185</v>
      </c>
      <c r="F219">
        <v>9.5399999999999991</v>
      </c>
      <c r="G219" t="s">
        <v>4564</v>
      </c>
      <c r="H219" t="s">
        <v>12</v>
      </c>
      <c r="I219" t="s">
        <v>4563</v>
      </c>
      <c r="J219" t="s">
        <v>1610</v>
      </c>
      <c r="K219" t="s">
        <v>4565</v>
      </c>
    </row>
    <row r="220" spans="1:11">
      <c r="A220" t="s">
        <v>76</v>
      </c>
      <c r="B220" t="s">
        <v>3162</v>
      </c>
      <c r="C220" t="s">
        <v>3163</v>
      </c>
      <c r="D220" s="96">
        <f>Prices!$D$86</f>
        <v>131.73076923076923</v>
      </c>
      <c r="F220">
        <v>0</v>
      </c>
      <c r="G220" t="s">
        <v>3164</v>
      </c>
      <c r="I220" t="s">
        <v>3163</v>
      </c>
      <c r="J220" t="s">
        <v>1610</v>
      </c>
      <c r="K220" t="s">
        <v>3165</v>
      </c>
    </row>
    <row r="221" spans="1:11">
      <c r="A221" t="s">
        <v>76</v>
      </c>
      <c r="B221" t="s">
        <v>3357</v>
      </c>
      <c r="C221" t="s">
        <v>3358</v>
      </c>
      <c r="D221" s="96">
        <f>Prices!$D$86</f>
        <v>131.73076923076923</v>
      </c>
      <c r="F221">
        <v>0</v>
      </c>
      <c r="G221" t="s">
        <v>3359</v>
      </c>
      <c r="I221" t="s">
        <v>3358</v>
      </c>
      <c r="J221" t="s">
        <v>1610</v>
      </c>
      <c r="K221" t="s">
        <v>3360</v>
      </c>
    </row>
    <row r="222" spans="1:11">
      <c r="A222" t="s">
        <v>76</v>
      </c>
      <c r="B222" t="s">
        <v>3278</v>
      </c>
      <c r="C222" t="s">
        <v>3279</v>
      </c>
      <c r="D222" s="96">
        <f>Prices!$D$86</f>
        <v>131.73076923076923</v>
      </c>
      <c r="F222">
        <v>0</v>
      </c>
      <c r="G222" t="s">
        <v>3280</v>
      </c>
      <c r="I222" t="s">
        <v>3279</v>
      </c>
      <c r="J222" t="s">
        <v>1610</v>
      </c>
      <c r="K222" t="s">
        <v>3281</v>
      </c>
    </row>
    <row r="223" spans="1:11" ht="30">
      <c r="A223" t="s">
        <v>158</v>
      </c>
      <c r="B223" s="1" t="s">
        <v>3589</v>
      </c>
      <c r="C223" t="s">
        <v>3590</v>
      </c>
      <c r="D223" s="96">
        <f>Prices!$G$107</f>
        <v>2</v>
      </c>
      <c r="F223">
        <v>3.9</v>
      </c>
      <c r="G223" t="s">
        <v>3591</v>
      </c>
      <c r="H223" t="s">
        <v>12</v>
      </c>
      <c r="I223" t="s">
        <v>3590</v>
      </c>
      <c r="J223" t="s">
        <v>1610</v>
      </c>
    </row>
    <row r="224" spans="1:11" ht="30">
      <c r="A224" t="s">
        <v>158</v>
      </c>
      <c r="B224" s="1" t="s">
        <v>2542</v>
      </c>
      <c r="C224" t="s">
        <v>2543</v>
      </c>
      <c r="D224" s="96">
        <f>Prices!$G$107</f>
        <v>2</v>
      </c>
      <c r="F224">
        <v>4</v>
      </c>
      <c r="G224" t="s">
        <v>2544</v>
      </c>
      <c r="H224" t="s">
        <v>12</v>
      </c>
      <c r="I224" t="s">
        <v>2543</v>
      </c>
      <c r="J224" t="s">
        <v>1610</v>
      </c>
    </row>
    <row r="225" spans="1:11" ht="30">
      <c r="A225" t="s">
        <v>158</v>
      </c>
      <c r="B225" s="1" t="s">
        <v>3315</v>
      </c>
      <c r="C225" t="s">
        <v>3316</v>
      </c>
      <c r="D225" s="96">
        <f>Prices!$G$107</f>
        <v>2</v>
      </c>
      <c r="F225">
        <v>0</v>
      </c>
      <c r="G225" t="s">
        <v>3317</v>
      </c>
      <c r="I225" t="s">
        <v>3316</v>
      </c>
      <c r="J225" t="s">
        <v>1610</v>
      </c>
    </row>
    <row r="226" spans="1:11" ht="30">
      <c r="A226" t="s">
        <v>158</v>
      </c>
      <c r="B226" s="1" t="s">
        <v>4218</v>
      </c>
      <c r="C226" t="s">
        <v>4219</v>
      </c>
      <c r="D226" s="96">
        <f>Prices!$G$107</f>
        <v>2</v>
      </c>
      <c r="F226">
        <v>1</v>
      </c>
      <c r="G226" t="s">
        <v>4220</v>
      </c>
      <c r="H226" t="s">
        <v>12</v>
      </c>
      <c r="I226" t="s">
        <v>4219</v>
      </c>
      <c r="J226" t="s">
        <v>1610</v>
      </c>
    </row>
    <row r="227" spans="1:11">
      <c r="A227" t="s">
        <v>35</v>
      </c>
      <c r="B227" t="s">
        <v>4320</v>
      </c>
      <c r="C227" t="s">
        <v>4321</v>
      </c>
      <c r="D227" s="96">
        <f>Prices!$G$107</f>
        <v>2</v>
      </c>
      <c r="F227">
        <v>8</v>
      </c>
      <c r="G227" t="s">
        <v>4322</v>
      </c>
      <c r="H227" t="s">
        <v>12</v>
      </c>
      <c r="I227" t="s">
        <v>4321</v>
      </c>
      <c r="J227" t="s">
        <v>1610</v>
      </c>
    </row>
    <row r="228" spans="1:11">
      <c r="A228" t="s">
        <v>35</v>
      </c>
      <c r="B228" t="s">
        <v>3958</v>
      </c>
      <c r="C228" t="s">
        <v>3959</v>
      </c>
      <c r="D228" s="96">
        <f>Prices!$G$107</f>
        <v>2</v>
      </c>
      <c r="F228">
        <v>8</v>
      </c>
      <c r="G228" t="s">
        <v>3960</v>
      </c>
      <c r="H228" t="s">
        <v>12</v>
      </c>
      <c r="I228" t="s">
        <v>3959</v>
      </c>
      <c r="J228" t="s">
        <v>1610</v>
      </c>
    </row>
    <row r="229" spans="1:11">
      <c r="A229" t="s">
        <v>158</v>
      </c>
      <c r="B229" t="s">
        <v>944</v>
      </c>
      <c r="C229" t="s">
        <v>945</v>
      </c>
      <c r="D229" s="96">
        <f>Prices!$G$107</f>
        <v>2</v>
      </c>
      <c r="F229">
        <v>115</v>
      </c>
      <c r="G229" t="s">
        <v>946</v>
      </c>
      <c r="H229" t="s">
        <v>12</v>
      </c>
      <c r="I229" t="s">
        <v>945</v>
      </c>
      <c r="J229" t="s">
        <v>940</v>
      </c>
      <c r="K229" t="s">
        <v>947</v>
      </c>
    </row>
    <row r="230" spans="1:11">
      <c r="A230" t="s">
        <v>35</v>
      </c>
      <c r="B230" t="s">
        <v>178</v>
      </c>
      <c r="C230" t="s">
        <v>179</v>
      </c>
      <c r="D230" s="96">
        <f>Prices!$G$107</f>
        <v>2</v>
      </c>
      <c r="F230">
        <v>0.55000000000000004</v>
      </c>
      <c r="G230" t="s">
        <v>180</v>
      </c>
      <c r="H230" t="s">
        <v>12</v>
      </c>
      <c r="I230" t="s">
        <v>179</v>
      </c>
      <c r="J230" t="s">
        <v>13</v>
      </c>
    </row>
    <row r="231" spans="1:11">
      <c r="A231" t="s">
        <v>35</v>
      </c>
      <c r="B231" t="s">
        <v>36</v>
      </c>
      <c r="C231" t="s">
        <v>37</v>
      </c>
      <c r="D231" s="96">
        <f>Prices!$G$107</f>
        <v>2</v>
      </c>
      <c r="F231">
        <v>3.13</v>
      </c>
      <c r="G231" t="s">
        <v>38</v>
      </c>
      <c r="H231" t="s">
        <v>12</v>
      </c>
      <c r="I231" t="s">
        <v>37</v>
      </c>
      <c r="J231" t="s">
        <v>13</v>
      </c>
    </row>
    <row r="232" spans="1:11">
      <c r="A232" t="s">
        <v>35</v>
      </c>
      <c r="B232" t="s">
        <v>159</v>
      </c>
      <c r="C232" t="s">
        <v>160</v>
      </c>
      <c r="D232" s="96">
        <f>Prices!$G$107</f>
        <v>2</v>
      </c>
      <c r="F232">
        <v>0.4</v>
      </c>
      <c r="G232" t="s">
        <v>197</v>
      </c>
      <c r="H232" t="s">
        <v>12</v>
      </c>
      <c r="I232" t="s">
        <v>160</v>
      </c>
      <c r="J232" t="s">
        <v>13</v>
      </c>
    </row>
    <row r="233" spans="1:11">
      <c r="A233" t="s">
        <v>35</v>
      </c>
      <c r="B233" t="s">
        <v>816</v>
      </c>
      <c r="C233" t="s">
        <v>817</v>
      </c>
      <c r="D233" s="96">
        <f>Prices!$G$107</f>
        <v>2</v>
      </c>
      <c r="F233">
        <v>0.14000000000000001</v>
      </c>
      <c r="G233" t="s">
        <v>818</v>
      </c>
      <c r="H233" t="s">
        <v>12</v>
      </c>
      <c r="I233" t="s">
        <v>817</v>
      </c>
      <c r="J233" t="s">
        <v>13</v>
      </c>
    </row>
    <row r="234" spans="1:11">
      <c r="A234" t="s">
        <v>185</v>
      </c>
      <c r="B234" t="s">
        <v>2945</v>
      </c>
      <c r="C234" t="s">
        <v>2946</v>
      </c>
      <c r="D234" s="96">
        <f>Prices!$G$107</f>
        <v>2</v>
      </c>
      <c r="F234">
        <v>0</v>
      </c>
      <c r="G234" t="s">
        <v>2947</v>
      </c>
      <c r="I234" t="s">
        <v>2946</v>
      </c>
      <c r="J234" t="s">
        <v>1610</v>
      </c>
    </row>
    <row r="235" spans="1:11">
      <c r="A235" t="s">
        <v>185</v>
      </c>
      <c r="B235" t="s">
        <v>3741</v>
      </c>
      <c r="C235" t="s">
        <v>3742</v>
      </c>
      <c r="D235" s="96">
        <f>Prices!$G$107</f>
        <v>2</v>
      </c>
      <c r="F235">
        <v>10.5</v>
      </c>
      <c r="G235" t="s">
        <v>3743</v>
      </c>
      <c r="H235" t="s">
        <v>12</v>
      </c>
      <c r="I235" t="s">
        <v>3742</v>
      </c>
      <c r="J235" t="s">
        <v>1610</v>
      </c>
    </row>
    <row r="236" spans="1:11">
      <c r="A236" t="s">
        <v>185</v>
      </c>
      <c r="B236" t="s">
        <v>3890</v>
      </c>
      <c r="C236" t="s">
        <v>3891</v>
      </c>
      <c r="D236" s="96">
        <f>Prices!$G$107</f>
        <v>2</v>
      </c>
      <c r="F236">
        <v>4.5199999999999996</v>
      </c>
      <c r="G236" t="s">
        <v>3892</v>
      </c>
      <c r="H236" t="s">
        <v>12</v>
      </c>
      <c r="I236" t="s">
        <v>3891</v>
      </c>
      <c r="J236" t="s">
        <v>1610</v>
      </c>
    </row>
    <row r="237" spans="1:11">
      <c r="A237" t="s">
        <v>185</v>
      </c>
      <c r="B237" t="s">
        <v>4298</v>
      </c>
      <c r="C237" t="s">
        <v>4299</v>
      </c>
      <c r="D237" s="96">
        <f>Prices!$G$107</f>
        <v>2</v>
      </c>
      <c r="F237">
        <v>7.02</v>
      </c>
      <c r="G237" t="s">
        <v>4300</v>
      </c>
      <c r="H237" t="s">
        <v>12</v>
      </c>
      <c r="I237" t="s">
        <v>4299</v>
      </c>
      <c r="J237" t="s">
        <v>1610</v>
      </c>
    </row>
    <row r="238" spans="1:11">
      <c r="A238" t="s">
        <v>185</v>
      </c>
      <c r="B238" t="s">
        <v>3210</v>
      </c>
      <c r="C238" t="s">
        <v>3211</v>
      </c>
      <c r="D238" s="96">
        <f>Prices!$G$107</f>
        <v>2</v>
      </c>
      <c r="F238">
        <v>0</v>
      </c>
      <c r="G238" t="s">
        <v>3212</v>
      </c>
      <c r="I238" t="s">
        <v>3211</v>
      </c>
      <c r="J238" t="s">
        <v>1610</v>
      </c>
    </row>
    <row r="239" spans="1:11">
      <c r="A239" t="s">
        <v>185</v>
      </c>
      <c r="B239" t="s">
        <v>3760</v>
      </c>
      <c r="C239" t="s">
        <v>3761</v>
      </c>
      <c r="D239" s="96">
        <f>Prices!$G$107</f>
        <v>2</v>
      </c>
      <c r="F239">
        <v>6.4</v>
      </c>
      <c r="G239" t="s">
        <v>3762</v>
      </c>
      <c r="H239" t="s">
        <v>12</v>
      </c>
      <c r="I239" t="s">
        <v>3761</v>
      </c>
      <c r="J239" t="s">
        <v>1610</v>
      </c>
    </row>
    <row r="240" spans="1:11">
      <c r="A240" t="s">
        <v>185</v>
      </c>
      <c r="B240" t="s">
        <v>3855</v>
      </c>
      <c r="C240" t="s">
        <v>3856</v>
      </c>
      <c r="D240" s="96">
        <f>Prices!$G$107</f>
        <v>2</v>
      </c>
      <c r="F240">
        <v>17.649999999999999</v>
      </c>
      <c r="G240" t="s">
        <v>3857</v>
      </c>
      <c r="H240" t="s">
        <v>12</v>
      </c>
      <c r="I240" t="s">
        <v>3856</v>
      </c>
      <c r="J240" t="s">
        <v>1610</v>
      </c>
    </row>
    <row r="241" spans="1:10">
      <c r="A241" t="s">
        <v>185</v>
      </c>
      <c r="B241" t="s">
        <v>4174</v>
      </c>
      <c r="C241" t="s">
        <v>4175</v>
      </c>
      <c r="D241" s="96">
        <f>Prices!$G$107</f>
        <v>2</v>
      </c>
      <c r="F241">
        <v>31.65</v>
      </c>
      <c r="G241" t="s">
        <v>4176</v>
      </c>
      <c r="H241" t="s">
        <v>12</v>
      </c>
      <c r="I241" t="s">
        <v>4175</v>
      </c>
      <c r="J241" t="s">
        <v>1610</v>
      </c>
    </row>
    <row r="242" spans="1:10">
      <c r="A242" t="s">
        <v>185</v>
      </c>
      <c r="B242" t="s">
        <v>782</v>
      </c>
      <c r="C242" t="s">
        <v>783</v>
      </c>
      <c r="D242" s="96">
        <f>Prices!$G$107</f>
        <v>2</v>
      </c>
      <c r="F242">
        <v>178.41</v>
      </c>
      <c r="G242" t="s">
        <v>784</v>
      </c>
      <c r="H242" t="s">
        <v>12</v>
      </c>
      <c r="I242" t="s">
        <v>783</v>
      </c>
      <c r="J242" t="s">
        <v>13</v>
      </c>
    </row>
    <row r="243" spans="1:10">
      <c r="A243" t="s">
        <v>185</v>
      </c>
      <c r="B243" t="s">
        <v>850</v>
      </c>
      <c r="C243" t="s">
        <v>851</v>
      </c>
      <c r="D243" s="96">
        <f>Prices!$G$107</f>
        <v>2</v>
      </c>
      <c r="F243">
        <v>53.69</v>
      </c>
      <c r="G243" t="s">
        <v>852</v>
      </c>
      <c r="H243" t="s">
        <v>12</v>
      </c>
      <c r="I243" t="s">
        <v>851</v>
      </c>
      <c r="J243" t="s">
        <v>13</v>
      </c>
    </row>
    <row r="244" spans="1:10">
      <c r="A244" t="s">
        <v>35</v>
      </c>
      <c r="B244" t="s">
        <v>143</v>
      </c>
      <c r="C244" t="s">
        <v>144</v>
      </c>
      <c r="D244" s="96">
        <f>Prices!$G$107</f>
        <v>2</v>
      </c>
      <c r="F244">
        <v>25.44</v>
      </c>
      <c r="G244" t="s">
        <v>145</v>
      </c>
      <c r="H244" t="s">
        <v>146</v>
      </c>
      <c r="I244" t="s">
        <v>144</v>
      </c>
      <c r="J244" t="s">
        <v>13</v>
      </c>
    </row>
    <row r="245" spans="1:10">
      <c r="A245" t="s">
        <v>35</v>
      </c>
      <c r="B245" t="s">
        <v>327</v>
      </c>
      <c r="C245" t="s">
        <v>328</v>
      </c>
      <c r="D245" s="96">
        <f>Prices!$G$107</f>
        <v>2</v>
      </c>
      <c r="F245">
        <v>163.6</v>
      </c>
      <c r="G245" t="s">
        <v>329</v>
      </c>
      <c r="H245" t="s">
        <v>12</v>
      </c>
      <c r="I245" t="s">
        <v>328</v>
      </c>
      <c r="J245" t="s">
        <v>13</v>
      </c>
    </row>
    <row r="246" spans="1:10">
      <c r="A246" t="s">
        <v>35</v>
      </c>
      <c r="B246" t="s">
        <v>432</v>
      </c>
      <c r="C246" t="s">
        <v>433</v>
      </c>
      <c r="D246" s="96">
        <f>Prices!$G$107</f>
        <v>2</v>
      </c>
      <c r="F246">
        <v>21.29</v>
      </c>
      <c r="G246" t="s">
        <v>434</v>
      </c>
      <c r="H246" t="s">
        <v>12</v>
      </c>
      <c r="I246" t="s">
        <v>433</v>
      </c>
      <c r="J246" t="s">
        <v>13</v>
      </c>
    </row>
    <row r="247" spans="1:10">
      <c r="A247" t="s">
        <v>35</v>
      </c>
      <c r="B247" t="s">
        <v>396</v>
      </c>
      <c r="C247" t="s">
        <v>186</v>
      </c>
      <c r="D247" s="96">
        <f>Prices!$G$107</f>
        <v>2</v>
      </c>
      <c r="F247">
        <v>3.82</v>
      </c>
      <c r="G247" t="s">
        <v>397</v>
      </c>
      <c r="H247" t="s">
        <v>12</v>
      </c>
      <c r="I247" t="s">
        <v>186</v>
      </c>
      <c r="J247" t="s">
        <v>13</v>
      </c>
    </row>
    <row r="248" spans="1:10">
      <c r="A248" t="s">
        <v>185</v>
      </c>
      <c r="B248" t="s">
        <v>819</v>
      </c>
      <c r="C248" t="s">
        <v>820</v>
      </c>
      <c r="D248" s="96">
        <f>Prices!$G$107</f>
        <v>2</v>
      </c>
      <c r="F248">
        <v>147.51</v>
      </c>
      <c r="G248" t="s">
        <v>821</v>
      </c>
      <c r="H248" t="s">
        <v>12</v>
      </c>
      <c r="I248" t="s">
        <v>820</v>
      </c>
      <c r="J248" t="s">
        <v>13</v>
      </c>
    </row>
    <row r="249" spans="1:10">
      <c r="A249" t="s">
        <v>185</v>
      </c>
      <c r="B249" t="s">
        <v>209</v>
      </c>
      <c r="C249" t="s">
        <v>210</v>
      </c>
      <c r="D249" s="96">
        <f>Prices!$G$107</f>
        <v>2</v>
      </c>
      <c r="F249">
        <v>754.7</v>
      </c>
      <c r="G249" t="s">
        <v>211</v>
      </c>
      <c r="H249" t="s">
        <v>12</v>
      </c>
      <c r="I249" t="s">
        <v>210</v>
      </c>
      <c r="J249" t="s">
        <v>13</v>
      </c>
    </row>
    <row r="250" spans="1:10">
      <c r="A250" t="s">
        <v>185</v>
      </c>
      <c r="B250" t="s">
        <v>468</v>
      </c>
      <c r="C250" t="s">
        <v>469</v>
      </c>
      <c r="D250" s="96">
        <f>Prices!$G$107</f>
        <v>2</v>
      </c>
      <c r="F250">
        <v>0</v>
      </c>
      <c r="G250" t="s">
        <v>470</v>
      </c>
      <c r="I250" t="s">
        <v>469</v>
      </c>
      <c r="J250" t="s">
        <v>13</v>
      </c>
    </row>
    <row r="251" spans="1:10">
      <c r="A251" t="s">
        <v>35</v>
      </c>
      <c r="B251" t="s">
        <v>3151</v>
      </c>
      <c r="C251" t="s">
        <v>3152</v>
      </c>
      <c r="D251" s="96">
        <f>Prices!$G$106</f>
        <v>3</v>
      </c>
      <c r="F251">
        <v>0</v>
      </c>
      <c r="G251" t="s">
        <v>3153</v>
      </c>
      <c r="I251" t="s">
        <v>3152</v>
      </c>
      <c r="J251" t="s">
        <v>1610</v>
      </c>
    </row>
    <row r="252" spans="1:10">
      <c r="A252" t="s">
        <v>35</v>
      </c>
      <c r="B252" t="s">
        <v>920</v>
      </c>
      <c r="C252" t="s">
        <v>921</v>
      </c>
      <c r="D252" s="96">
        <f>Prices!$G$106</f>
        <v>3</v>
      </c>
      <c r="F252">
        <v>2.2999999999999998</v>
      </c>
      <c r="G252" t="s">
        <v>922</v>
      </c>
      <c r="H252" t="s">
        <v>12</v>
      </c>
      <c r="I252" t="s">
        <v>921</v>
      </c>
      <c r="J252" t="s">
        <v>13</v>
      </c>
    </row>
    <row r="253" spans="1:10">
      <c r="A253" t="s">
        <v>35</v>
      </c>
      <c r="B253" t="s">
        <v>435</v>
      </c>
      <c r="C253" t="s">
        <v>436</v>
      </c>
      <c r="D253" s="96">
        <f>Prices!$G$106</f>
        <v>3</v>
      </c>
      <c r="F253">
        <v>2.31</v>
      </c>
      <c r="G253" t="s">
        <v>437</v>
      </c>
      <c r="H253" t="s">
        <v>12</v>
      </c>
      <c r="I253" t="s">
        <v>436</v>
      </c>
      <c r="J253" t="s">
        <v>13</v>
      </c>
    </row>
    <row r="254" spans="1:10">
      <c r="A254" t="s">
        <v>35</v>
      </c>
      <c r="B254" t="s">
        <v>155</v>
      </c>
      <c r="C254" t="s">
        <v>156</v>
      </c>
      <c r="D254" s="96">
        <f>Prices!$G$106</f>
        <v>3</v>
      </c>
      <c r="F254">
        <v>7.8</v>
      </c>
      <c r="G254" t="s">
        <v>157</v>
      </c>
      <c r="H254" t="s">
        <v>12</v>
      </c>
      <c r="I254" t="s">
        <v>156</v>
      </c>
      <c r="J254" t="s">
        <v>13</v>
      </c>
    </row>
    <row r="255" spans="1:10">
      <c r="A255" t="s">
        <v>35</v>
      </c>
      <c r="B255" t="s">
        <v>3151</v>
      </c>
      <c r="C255" t="s">
        <v>3301</v>
      </c>
      <c r="D255" s="96">
        <f>Prices!$G$106</f>
        <v>3</v>
      </c>
      <c r="F255">
        <v>0</v>
      </c>
      <c r="G255" t="s">
        <v>3302</v>
      </c>
      <c r="I255" t="s">
        <v>3301</v>
      </c>
      <c r="J255" t="s">
        <v>1610</v>
      </c>
    </row>
    <row r="256" spans="1:10">
      <c r="A256" t="s">
        <v>35</v>
      </c>
      <c r="B256" t="s">
        <v>2752</v>
      </c>
      <c r="C256" t="s">
        <v>2753</v>
      </c>
      <c r="D256" s="96">
        <f>Prices!$G$106</f>
        <v>3</v>
      </c>
      <c r="F256">
        <v>0.01</v>
      </c>
      <c r="G256" t="s">
        <v>2754</v>
      </c>
      <c r="H256" t="s">
        <v>12</v>
      </c>
      <c r="I256" t="s">
        <v>2753</v>
      </c>
      <c r="J256" t="s">
        <v>1610</v>
      </c>
    </row>
    <row r="257" spans="1:11">
      <c r="A257" t="s">
        <v>76</v>
      </c>
      <c r="B257" t="s">
        <v>4326</v>
      </c>
      <c r="C257" t="s">
        <v>4327</v>
      </c>
      <c r="D257" s="96">
        <f>Prices!$D$104</f>
        <v>97.938375350140063</v>
      </c>
      <c r="F257">
        <v>4.5</v>
      </c>
      <c r="G257" t="s">
        <v>4328</v>
      </c>
      <c r="H257" t="s">
        <v>12</v>
      </c>
      <c r="I257" t="s">
        <v>4327</v>
      </c>
      <c r="J257" t="s">
        <v>1610</v>
      </c>
      <c r="K257" t="s">
        <v>4329</v>
      </c>
    </row>
    <row r="258" spans="1:11">
      <c r="A258" t="s">
        <v>39</v>
      </c>
      <c r="B258" t="s">
        <v>3444</v>
      </c>
      <c r="C258" t="s">
        <v>3445</v>
      </c>
      <c r="D258" s="96">
        <f>Prices!$D$104</f>
        <v>97.938375350140063</v>
      </c>
      <c r="F258">
        <v>4.83</v>
      </c>
      <c r="G258" t="s">
        <v>3446</v>
      </c>
      <c r="H258" t="s">
        <v>12</v>
      </c>
      <c r="I258" t="s">
        <v>3445</v>
      </c>
      <c r="J258" t="s">
        <v>1610</v>
      </c>
    </row>
    <row r="259" spans="1:11">
      <c r="A259" t="s">
        <v>76</v>
      </c>
      <c r="B259" t="s">
        <v>2078</v>
      </c>
      <c r="C259" t="s">
        <v>2079</v>
      </c>
      <c r="D259" s="96">
        <f>Prices!$D$104</f>
        <v>97.938375350140063</v>
      </c>
      <c r="F259">
        <v>0.08</v>
      </c>
      <c r="G259" t="s">
        <v>2080</v>
      </c>
      <c r="H259" t="s">
        <v>12</v>
      </c>
      <c r="I259" t="s">
        <v>2079</v>
      </c>
      <c r="J259" t="s">
        <v>1610</v>
      </c>
      <c r="K259" t="s">
        <v>2081</v>
      </c>
    </row>
    <row r="260" spans="1:11">
      <c r="A260" t="s">
        <v>39</v>
      </c>
      <c r="B260" t="s">
        <v>2302</v>
      </c>
      <c r="C260" t="s">
        <v>2303</v>
      </c>
      <c r="D260" s="96">
        <f>Prices!$D$104</f>
        <v>97.938375350140063</v>
      </c>
      <c r="F260">
        <v>23.83</v>
      </c>
      <c r="G260" t="s">
        <v>3737</v>
      </c>
      <c r="H260" t="s">
        <v>12</v>
      </c>
      <c r="I260" t="s">
        <v>2303</v>
      </c>
      <c r="J260" t="s">
        <v>1610</v>
      </c>
    </row>
    <row r="261" spans="1:11">
      <c r="A261" t="s">
        <v>76</v>
      </c>
      <c r="B261" t="s">
        <v>2295</v>
      </c>
      <c r="C261" t="s">
        <v>2296</v>
      </c>
      <c r="D261" s="96">
        <f>Prices!$D$104</f>
        <v>97.938375350140063</v>
      </c>
      <c r="F261">
        <v>7.29</v>
      </c>
      <c r="G261" t="s">
        <v>2297</v>
      </c>
      <c r="H261" t="s">
        <v>12</v>
      </c>
      <c r="I261" t="s">
        <v>2296</v>
      </c>
      <c r="J261" t="s">
        <v>1610</v>
      </c>
      <c r="K261" t="s">
        <v>2298</v>
      </c>
    </row>
    <row r="262" spans="1:11">
      <c r="A262" t="s">
        <v>76</v>
      </c>
      <c r="B262" t="s">
        <v>4511</v>
      </c>
      <c r="C262" t="s">
        <v>4512</v>
      </c>
      <c r="D262" s="96">
        <f>Prices!$D$104</f>
        <v>97.938375350140063</v>
      </c>
      <c r="F262">
        <v>72.38</v>
      </c>
      <c r="G262" t="s">
        <v>4513</v>
      </c>
      <c r="H262" t="s">
        <v>12</v>
      </c>
      <c r="I262" t="s">
        <v>4512</v>
      </c>
      <c r="J262" t="s">
        <v>1610</v>
      </c>
      <c r="K262" t="s">
        <v>4514</v>
      </c>
    </row>
    <row r="263" spans="1:11">
      <c r="A263" t="s">
        <v>76</v>
      </c>
      <c r="B263" t="s">
        <v>4515</v>
      </c>
      <c r="C263" t="s">
        <v>4516</v>
      </c>
      <c r="D263" s="96">
        <f>Prices!$D$104</f>
        <v>97.938375350140063</v>
      </c>
      <c r="F263">
        <v>49.03</v>
      </c>
      <c r="G263" t="s">
        <v>4517</v>
      </c>
      <c r="H263" t="s">
        <v>12</v>
      </c>
      <c r="I263" t="s">
        <v>4516</v>
      </c>
      <c r="J263" t="s">
        <v>1610</v>
      </c>
      <c r="K263" t="s">
        <v>4518</v>
      </c>
    </row>
    <row r="264" spans="1:11">
      <c r="A264" t="s">
        <v>10</v>
      </c>
      <c r="B264" t="s">
        <v>3012</v>
      </c>
      <c r="C264" t="s">
        <v>3013</v>
      </c>
      <c r="D264" s="96">
        <f>Prices!$D$104</f>
        <v>97.938375350140063</v>
      </c>
      <c r="F264">
        <v>0</v>
      </c>
      <c r="G264" t="s">
        <v>3014</v>
      </c>
      <c r="I264" t="s">
        <v>3013</v>
      </c>
      <c r="J264" t="s">
        <v>1610</v>
      </c>
      <c r="K264" t="s">
        <v>3015</v>
      </c>
    </row>
    <row r="265" spans="1:11">
      <c r="A265" t="s">
        <v>76</v>
      </c>
      <c r="B265" t="s">
        <v>4519</v>
      </c>
      <c r="C265" t="s">
        <v>4520</v>
      </c>
      <c r="D265" s="96">
        <f>Prices!$D$104</f>
        <v>97.938375350140063</v>
      </c>
      <c r="F265">
        <v>188.98</v>
      </c>
      <c r="G265" t="s">
        <v>4521</v>
      </c>
      <c r="H265" t="s">
        <v>12</v>
      </c>
      <c r="I265" t="s">
        <v>4520</v>
      </c>
      <c r="J265" t="s">
        <v>1610</v>
      </c>
      <c r="K265" t="s">
        <v>4522</v>
      </c>
    </row>
    <row r="266" spans="1:11">
      <c r="A266" t="s">
        <v>76</v>
      </c>
      <c r="B266" t="s">
        <v>2456</v>
      </c>
      <c r="C266" t="s">
        <v>2457</v>
      </c>
      <c r="D266" s="96">
        <f>Prices!$D$104</f>
        <v>97.938375350140063</v>
      </c>
      <c r="F266">
        <v>8.52</v>
      </c>
      <c r="G266" t="s">
        <v>2458</v>
      </c>
      <c r="H266" t="s">
        <v>12</v>
      </c>
      <c r="I266" t="s">
        <v>2457</v>
      </c>
      <c r="J266" t="s">
        <v>1610</v>
      </c>
      <c r="K266" t="s">
        <v>2459</v>
      </c>
    </row>
    <row r="267" spans="1:11">
      <c r="A267" t="s">
        <v>76</v>
      </c>
      <c r="B267" t="s">
        <v>4523</v>
      </c>
      <c r="C267" t="s">
        <v>4524</v>
      </c>
      <c r="D267" s="96">
        <f>Prices!$D$104</f>
        <v>97.938375350140063</v>
      </c>
      <c r="F267">
        <v>117.64</v>
      </c>
      <c r="G267" t="s">
        <v>4525</v>
      </c>
      <c r="H267" t="s">
        <v>12</v>
      </c>
      <c r="I267" t="s">
        <v>4524</v>
      </c>
      <c r="J267" t="s">
        <v>1610</v>
      </c>
      <c r="K267" t="s">
        <v>4526</v>
      </c>
    </row>
    <row r="268" spans="1:11">
      <c r="A268" t="s">
        <v>39</v>
      </c>
      <c r="B268" t="s">
        <v>2796</v>
      </c>
      <c r="C268" t="s">
        <v>2797</v>
      </c>
      <c r="D268" s="96">
        <f>Prices!$D$104</f>
        <v>97.938375350140063</v>
      </c>
      <c r="F268">
        <v>13.84</v>
      </c>
      <c r="G268" t="s">
        <v>2798</v>
      </c>
      <c r="H268" t="s">
        <v>12</v>
      </c>
      <c r="I268" t="s">
        <v>2797</v>
      </c>
      <c r="J268" t="s">
        <v>1610</v>
      </c>
    </row>
    <row r="269" spans="1:11">
      <c r="A269" t="s">
        <v>447</v>
      </c>
      <c r="B269" t="s">
        <v>3063</v>
      </c>
      <c r="C269" t="s">
        <v>3064</v>
      </c>
      <c r="D269" s="96">
        <f>Prices!$D$104</f>
        <v>97.938375350140063</v>
      </c>
      <c r="F269">
        <v>0</v>
      </c>
      <c r="G269" t="s">
        <v>3065</v>
      </c>
      <c r="I269" t="s">
        <v>3064</v>
      </c>
      <c r="J269" t="s">
        <v>1610</v>
      </c>
      <c r="K269" t="s">
        <v>3066</v>
      </c>
    </row>
    <row r="270" spans="1:11">
      <c r="A270" t="s">
        <v>76</v>
      </c>
      <c r="B270" t="s">
        <v>4527</v>
      </c>
      <c r="C270" t="s">
        <v>4528</v>
      </c>
      <c r="D270" s="96">
        <f>Prices!$D$104</f>
        <v>97.938375350140063</v>
      </c>
      <c r="F270">
        <v>72.760000000000005</v>
      </c>
      <c r="G270" t="s">
        <v>4529</v>
      </c>
      <c r="H270" t="s">
        <v>12</v>
      </c>
      <c r="I270" t="s">
        <v>4528</v>
      </c>
      <c r="J270" t="s">
        <v>1610</v>
      </c>
      <c r="K270" t="s">
        <v>4530</v>
      </c>
    </row>
    <row r="271" spans="1:11">
      <c r="A271" t="s">
        <v>76</v>
      </c>
      <c r="B271" t="s">
        <v>4503</v>
      </c>
      <c r="C271" t="s">
        <v>4504</v>
      </c>
      <c r="D271" s="96">
        <f>Prices!$D$104</f>
        <v>97.938375350140063</v>
      </c>
      <c r="F271">
        <v>0.49</v>
      </c>
      <c r="G271" t="s">
        <v>4505</v>
      </c>
      <c r="H271" t="s">
        <v>12</v>
      </c>
      <c r="I271" t="s">
        <v>4504</v>
      </c>
      <c r="J271" t="s">
        <v>1610</v>
      </c>
      <c r="K271" t="s">
        <v>4506</v>
      </c>
    </row>
    <row r="272" spans="1:11">
      <c r="A272" t="s">
        <v>76</v>
      </c>
      <c r="B272" t="s">
        <v>4507</v>
      </c>
      <c r="C272" t="s">
        <v>4508</v>
      </c>
      <c r="D272" s="96">
        <f>Prices!$D$104</f>
        <v>97.938375350140063</v>
      </c>
      <c r="F272">
        <v>2.1800000000000002</v>
      </c>
      <c r="G272" t="s">
        <v>4509</v>
      </c>
      <c r="H272" t="s">
        <v>12</v>
      </c>
      <c r="I272" t="s">
        <v>4508</v>
      </c>
      <c r="J272" t="s">
        <v>1610</v>
      </c>
      <c r="K272" t="s">
        <v>4510</v>
      </c>
    </row>
    <row r="273" spans="1:11">
      <c r="A273" t="s">
        <v>76</v>
      </c>
      <c r="B273" t="s">
        <v>4531</v>
      </c>
      <c r="C273" t="s">
        <v>4532</v>
      </c>
      <c r="D273" s="96">
        <f>Prices!$D$104</f>
        <v>97.938375350140063</v>
      </c>
      <c r="F273">
        <v>11.27</v>
      </c>
      <c r="G273" t="s">
        <v>4533</v>
      </c>
      <c r="H273" t="s">
        <v>12</v>
      </c>
      <c r="I273" t="s">
        <v>4532</v>
      </c>
      <c r="J273" t="s">
        <v>1610</v>
      </c>
      <c r="K273" t="s">
        <v>4534</v>
      </c>
    </row>
    <row r="274" spans="1:11">
      <c r="A274" t="s">
        <v>76</v>
      </c>
      <c r="B274" t="s">
        <v>4487</v>
      </c>
      <c r="C274" t="s">
        <v>4488</v>
      </c>
      <c r="D274" s="96">
        <f>Prices!$D$104</f>
        <v>97.938375350140063</v>
      </c>
      <c r="F274">
        <v>292.54000000000002</v>
      </c>
      <c r="G274" t="s">
        <v>4489</v>
      </c>
      <c r="H274" t="s">
        <v>12</v>
      </c>
      <c r="I274" t="s">
        <v>4488</v>
      </c>
      <c r="J274" t="s">
        <v>1610</v>
      </c>
      <c r="K274" t="s">
        <v>4490</v>
      </c>
    </row>
    <row r="275" spans="1:11">
      <c r="A275" t="s">
        <v>39</v>
      </c>
      <c r="B275" t="s">
        <v>3931</v>
      </c>
      <c r="C275" t="s">
        <v>3932</v>
      </c>
      <c r="D275" s="96">
        <f>Prices!$D$104</f>
        <v>97.938375350140063</v>
      </c>
      <c r="F275">
        <v>35.92</v>
      </c>
      <c r="G275" t="s">
        <v>3933</v>
      </c>
      <c r="H275" t="s">
        <v>12</v>
      </c>
      <c r="I275" t="s">
        <v>3932</v>
      </c>
      <c r="J275" t="s">
        <v>1610</v>
      </c>
      <c r="K275" t="s">
        <v>3934</v>
      </c>
    </row>
    <row r="276" spans="1:11">
      <c r="A276" t="s">
        <v>76</v>
      </c>
      <c r="B276" t="s">
        <v>4535</v>
      </c>
      <c r="C276" t="s">
        <v>4536</v>
      </c>
      <c r="D276" s="96">
        <f>Prices!$D$104</f>
        <v>97.938375350140063</v>
      </c>
      <c r="F276">
        <v>2.95</v>
      </c>
      <c r="G276" t="s">
        <v>4537</v>
      </c>
      <c r="H276" t="s">
        <v>12</v>
      </c>
      <c r="I276" t="s">
        <v>4536</v>
      </c>
      <c r="J276" t="s">
        <v>1610</v>
      </c>
      <c r="K276" t="s">
        <v>4538</v>
      </c>
    </row>
    <row r="277" spans="1:11">
      <c r="A277" t="s">
        <v>76</v>
      </c>
      <c r="B277" t="s">
        <v>2417</v>
      </c>
      <c r="C277" t="s">
        <v>2418</v>
      </c>
      <c r="D277" s="96">
        <f>Prices!$D$104</f>
        <v>97.938375350140063</v>
      </c>
      <c r="F277">
        <v>107.58</v>
      </c>
      <c r="G277" t="s">
        <v>2419</v>
      </c>
      <c r="H277" t="s">
        <v>12</v>
      </c>
      <c r="I277" t="s">
        <v>2418</v>
      </c>
      <c r="J277" t="s">
        <v>1610</v>
      </c>
      <c r="K277" t="s">
        <v>2420</v>
      </c>
    </row>
    <row r="278" spans="1:11">
      <c r="A278" t="s">
        <v>76</v>
      </c>
      <c r="B278" t="s">
        <v>4491</v>
      </c>
      <c r="C278" t="s">
        <v>4492</v>
      </c>
      <c r="D278" s="96">
        <f>Prices!$D$104</f>
        <v>97.938375350140063</v>
      </c>
      <c r="F278">
        <v>98.79</v>
      </c>
      <c r="G278" t="s">
        <v>4493</v>
      </c>
      <c r="H278" t="s">
        <v>12</v>
      </c>
      <c r="I278" t="s">
        <v>4492</v>
      </c>
      <c r="J278" t="s">
        <v>1610</v>
      </c>
      <c r="K278" t="s">
        <v>4494</v>
      </c>
    </row>
    <row r="279" spans="1:11">
      <c r="A279" t="s">
        <v>76</v>
      </c>
      <c r="B279" t="s">
        <v>3098</v>
      </c>
      <c r="C279" t="s">
        <v>3099</v>
      </c>
      <c r="D279" s="96">
        <f>Prices!$D$104</f>
        <v>97.938375350140063</v>
      </c>
      <c r="F279">
        <v>0</v>
      </c>
      <c r="G279" t="s">
        <v>3100</v>
      </c>
      <c r="I279" t="s">
        <v>3099</v>
      </c>
      <c r="J279" t="s">
        <v>1610</v>
      </c>
      <c r="K279" t="s">
        <v>3101</v>
      </c>
    </row>
    <row r="280" spans="1:11">
      <c r="A280" t="s">
        <v>10</v>
      </c>
      <c r="B280" t="s">
        <v>3365</v>
      </c>
      <c r="C280" t="s">
        <v>3366</v>
      </c>
      <c r="D280" s="96">
        <f>Prices!$D$104</f>
        <v>97.938375350140063</v>
      </c>
      <c r="F280">
        <v>0.01</v>
      </c>
      <c r="G280" t="s">
        <v>3484</v>
      </c>
      <c r="H280" t="s">
        <v>12</v>
      </c>
      <c r="I280" t="s">
        <v>3366</v>
      </c>
      <c r="J280" t="s">
        <v>1610</v>
      </c>
      <c r="K280" t="s">
        <v>3485</v>
      </c>
    </row>
    <row r="281" spans="1:11">
      <c r="A281" t="s">
        <v>86</v>
      </c>
      <c r="B281" t="s">
        <v>3967</v>
      </c>
      <c r="C281" t="s">
        <v>3968</v>
      </c>
      <c r="D281" s="96">
        <f>Prices!$D$104</f>
        <v>97.938375350140063</v>
      </c>
      <c r="F281">
        <v>63.86</v>
      </c>
      <c r="G281" t="s">
        <v>3969</v>
      </c>
      <c r="H281" t="s">
        <v>12</v>
      </c>
      <c r="I281" t="s">
        <v>3968</v>
      </c>
      <c r="J281" t="s">
        <v>1610</v>
      </c>
      <c r="K281" t="s">
        <v>3970</v>
      </c>
    </row>
    <row r="282" spans="1:11">
      <c r="A282" t="s">
        <v>76</v>
      </c>
      <c r="B282" t="s">
        <v>4495</v>
      </c>
      <c r="C282" t="s">
        <v>4496</v>
      </c>
      <c r="D282" s="96">
        <f>Prices!$D$104</f>
        <v>97.938375350140063</v>
      </c>
      <c r="F282">
        <v>78.36</v>
      </c>
      <c r="G282" t="s">
        <v>4497</v>
      </c>
      <c r="H282" t="s">
        <v>12</v>
      </c>
      <c r="I282" t="s">
        <v>4496</v>
      </c>
      <c r="J282" t="s">
        <v>1610</v>
      </c>
      <c r="K282" t="s">
        <v>4498</v>
      </c>
    </row>
    <row r="283" spans="1:11">
      <c r="A283" t="s">
        <v>76</v>
      </c>
      <c r="B283" t="s">
        <v>4499</v>
      </c>
      <c r="C283" t="s">
        <v>4500</v>
      </c>
      <c r="D283" s="96">
        <f>Prices!$D$104</f>
        <v>97.938375350140063</v>
      </c>
      <c r="F283">
        <v>23.67</v>
      </c>
      <c r="G283" t="s">
        <v>4501</v>
      </c>
      <c r="H283" t="s">
        <v>12</v>
      </c>
      <c r="I283" t="s">
        <v>4500</v>
      </c>
      <c r="J283" t="s">
        <v>1610</v>
      </c>
      <c r="K283" t="s">
        <v>4502</v>
      </c>
    </row>
    <row r="284" spans="1:11">
      <c r="A284" t="s">
        <v>76</v>
      </c>
      <c r="B284" t="s">
        <v>250</v>
      </c>
      <c r="C284" t="s">
        <v>251</v>
      </c>
      <c r="D284" s="96">
        <f>Prices!$D$69</f>
        <v>95.938375350140063</v>
      </c>
      <c r="F284">
        <v>0</v>
      </c>
      <c r="G284" t="s">
        <v>252</v>
      </c>
      <c r="I284" t="s">
        <v>251</v>
      </c>
      <c r="J284" t="s">
        <v>13</v>
      </c>
      <c r="K284" t="s">
        <v>253</v>
      </c>
    </row>
    <row r="285" spans="1:11">
      <c r="A285" t="s">
        <v>76</v>
      </c>
      <c r="B285" t="s">
        <v>826</v>
      </c>
      <c r="C285" t="s">
        <v>827</v>
      </c>
      <c r="D285" s="96">
        <f>Prices!$D$69</f>
        <v>95.938375350140063</v>
      </c>
      <c r="F285">
        <v>94.44</v>
      </c>
      <c r="G285" t="s">
        <v>828</v>
      </c>
      <c r="H285" t="s">
        <v>12</v>
      </c>
      <c r="I285" t="s">
        <v>827</v>
      </c>
      <c r="J285" t="s">
        <v>13</v>
      </c>
      <c r="K285" t="s">
        <v>829</v>
      </c>
    </row>
    <row r="286" spans="1:11">
      <c r="A286" t="s">
        <v>76</v>
      </c>
      <c r="B286" t="s">
        <v>2065</v>
      </c>
      <c r="C286" t="s">
        <v>2066</v>
      </c>
      <c r="D286" s="96">
        <f>Prices!$D$69</f>
        <v>95.938375350140063</v>
      </c>
      <c r="F286">
        <v>17.29</v>
      </c>
      <c r="G286" t="s">
        <v>2067</v>
      </c>
      <c r="H286" t="s">
        <v>12</v>
      </c>
      <c r="I286" t="s">
        <v>2066</v>
      </c>
      <c r="J286" t="s">
        <v>1610</v>
      </c>
      <c r="K286" t="s">
        <v>2068</v>
      </c>
    </row>
    <row r="287" spans="1:11">
      <c r="A287" t="s">
        <v>76</v>
      </c>
      <c r="B287" t="s">
        <v>830</v>
      </c>
      <c r="C287" t="s">
        <v>831</v>
      </c>
      <c r="D287" s="96">
        <f>Prices!$D$69</f>
        <v>95.938375350140063</v>
      </c>
      <c r="F287">
        <v>97.11</v>
      </c>
      <c r="G287" t="s">
        <v>832</v>
      </c>
      <c r="H287" t="s">
        <v>12</v>
      </c>
      <c r="I287" t="s">
        <v>831</v>
      </c>
      <c r="J287" t="s">
        <v>13</v>
      </c>
      <c r="K287" t="s">
        <v>833</v>
      </c>
    </row>
    <row r="288" spans="1:11">
      <c r="A288" t="s">
        <v>76</v>
      </c>
      <c r="B288" t="s">
        <v>2573</v>
      </c>
      <c r="C288" t="s">
        <v>2574</v>
      </c>
      <c r="D288" s="96">
        <f>Prices!$D$69</f>
        <v>95.938375350140063</v>
      </c>
      <c r="F288">
        <v>7.38</v>
      </c>
      <c r="G288" t="s">
        <v>2575</v>
      </c>
      <c r="H288" t="s">
        <v>12</v>
      </c>
      <c r="I288" t="s">
        <v>2574</v>
      </c>
      <c r="J288" t="s">
        <v>1610</v>
      </c>
      <c r="K288" t="s">
        <v>2576</v>
      </c>
    </row>
    <row r="289" spans="1:11">
      <c r="A289" t="s">
        <v>76</v>
      </c>
      <c r="B289" t="s">
        <v>834</v>
      </c>
      <c r="C289" t="s">
        <v>835</v>
      </c>
      <c r="D289" s="96">
        <f>Prices!$D$69</f>
        <v>95.938375350140063</v>
      </c>
      <c r="F289">
        <v>187.67</v>
      </c>
      <c r="G289" t="s">
        <v>836</v>
      </c>
      <c r="H289" t="s">
        <v>12</v>
      </c>
      <c r="I289" t="s">
        <v>835</v>
      </c>
      <c r="J289" t="s">
        <v>13</v>
      </c>
      <c r="K289" t="s">
        <v>837</v>
      </c>
    </row>
    <row r="290" spans="1:11">
      <c r="A290" t="s">
        <v>76</v>
      </c>
      <c r="B290" t="s">
        <v>4341</v>
      </c>
      <c r="C290" t="s">
        <v>4342</v>
      </c>
      <c r="D290" s="96">
        <f>Prices!$D$69</f>
        <v>95.938375350140063</v>
      </c>
      <c r="F290">
        <v>1.6</v>
      </c>
      <c r="G290" t="s">
        <v>4343</v>
      </c>
      <c r="H290" t="s">
        <v>12</v>
      </c>
      <c r="I290" t="s">
        <v>4342</v>
      </c>
      <c r="J290" t="s">
        <v>1610</v>
      </c>
      <c r="K290" t="s">
        <v>4344</v>
      </c>
    </row>
    <row r="291" spans="1:11">
      <c r="A291" t="s">
        <v>39</v>
      </c>
      <c r="B291" t="s">
        <v>2682</v>
      </c>
      <c r="C291" t="s">
        <v>2683</v>
      </c>
      <c r="D291" s="96">
        <f>Prices!$D$69</f>
        <v>95.938375350140063</v>
      </c>
      <c r="F291">
        <v>42.63</v>
      </c>
      <c r="G291" t="s">
        <v>2684</v>
      </c>
      <c r="H291" t="s">
        <v>12</v>
      </c>
      <c r="I291" t="s">
        <v>2683</v>
      </c>
      <c r="J291" t="s">
        <v>1610</v>
      </c>
    </row>
    <row r="292" spans="1:11">
      <c r="A292" t="s">
        <v>23</v>
      </c>
      <c r="B292" t="s">
        <v>806</v>
      </c>
      <c r="C292" t="s">
        <v>807</v>
      </c>
      <c r="D292" s="96">
        <f>Prices!$D$69</f>
        <v>95.938375350140063</v>
      </c>
      <c r="F292">
        <v>420.46</v>
      </c>
      <c r="G292" t="s">
        <v>808</v>
      </c>
      <c r="H292" t="s">
        <v>12</v>
      </c>
      <c r="I292" t="s">
        <v>807</v>
      </c>
      <c r="J292" t="s">
        <v>13</v>
      </c>
      <c r="K292" t="s">
        <v>809</v>
      </c>
    </row>
    <row r="293" spans="1:11">
      <c r="A293" t="s">
        <v>76</v>
      </c>
      <c r="B293" t="s">
        <v>3822</v>
      </c>
      <c r="C293" t="s">
        <v>3823</v>
      </c>
      <c r="D293" s="96">
        <f>Prices!$D$69</f>
        <v>95.938375350140063</v>
      </c>
      <c r="F293">
        <v>25.7</v>
      </c>
      <c r="G293" t="s">
        <v>3824</v>
      </c>
      <c r="H293" t="s">
        <v>12</v>
      </c>
      <c r="I293" t="s">
        <v>3823</v>
      </c>
      <c r="J293" t="s">
        <v>1610</v>
      </c>
    </row>
    <row r="294" spans="1:11">
      <c r="A294" t="s">
        <v>76</v>
      </c>
      <c r="B294" t="s">
        <v>4345</v>
      </c>
      <c r="C294" t="s">
        <v>4346</v>
      </c>
      <c r="D294" s="96">
        <f>Prices!$D$69</f>
        <v>95.938375350140063</v>
      </c>
      <c r="F294">
        <v>12.11</v>
      </c>
      <c r="G294" t="s">
        <v>4347</v>
      </c>
      <c r="H294" t="s">
        <v>12</v>
      </c>
      <c r="I294" t="s">
        <v>4346</v>
      </c>
      <c r="J294" t="s">
        <v>1610</v>
      </c>
      <c r="K294" t="s">
        <v>4348</v>
      </c>
    </row>
    <row r="295" spans="1:11">
      <c r="A295" t="s">
        <v>39</v>
      </c>
      <c r="B295" t="s">
        <v>3126</v>
      </c>
      <c r="C295" t="s">
        <v>3127</v>
      </c>
      <c r="D295" s="96">
        <f>Prices!$D$69</f>
        <v>95.938375350140063</v>
      </c>
      <c r="F295">
        <v>0</v>
      </c>
      <c r="G295" t="s">
        <v>3128</v>
      </c>
      <c r="I295" t="s">
        <v>3127</v>
      </c>
      <c r="J295" t="s">
        <v>1610</v>
      </c>
    </row>
    <row r="296" spans="1:11">
      <c r="A296" t="s">
        <v>39</v>
      </c>
      <c r="B296" t="s">
        <v>339</v>
      </c>
      <c r="C296" t="s">
        <v>97</v>
      </c>
      <c r="D296" s="96">
        <f>Prices!$D$69</f>
        <v>95.938375350140063</v>
      </c>
      <c r="F296">
        <v>0.28999999999999998</v>
      </c>
      <c r="G296" t="s">
        <v>340</v>
      </c>
      <c r="H296" t="s">
        <v>12</v>
      </c>
      <c r="I296" t="s">
        <v>97</v>
      </c>
      <c r="J296" t="s">
        <v>13</v>
      </c>
    </row>
    <row r="297" spans="1:11">
      <c r="A297" t="s">
        <v>76</v>
      </c>
      <c r="B297" t="s">
        <v>2373</v>
      </c>
      <c r="C297" t="s">
        <v>2374</v>
      </c>
      <c r="D297" s="96">
        <f>Prices!$D$69</f>
        <v>95.938375350140063</v>
      </c>
      <c r="F297">
        <v>11.28</v>
      </c>
      <c r="G297" t="s">
        <v>2375</v>
      </c>
      <c r="H297" t="s">
        <v>12</v>
      </c>
      <c r="I297" t="s">
        <v>2374</v>
      </c>
      <c r="J297" t="s">
        <v>1610</v>
      </c>
      <c r="K297" t="s">
        <v>2376</v>
      </c>
    </row>
    <row r="298" spans="1:11">
      <c r="A298" t="s">
        <v>76</v>
      </c>
      <c r="B298" t="s">
        <v>668</v>
      </c>
      <c r="C298" t="s">
        <v>669</v>
      </c>
      <c r="D298" s="96">
        <f>Prices!$D$69</f>
        <v>95.938375350140063</v>
      </c>
      <c r="F298">
        <v>8</v>
      </c>
      <c r="G298" t="s">
        <v>670</v>
      </c>
      <c r="H298" t="s">
        <v>12</v>
      </c>
      <c r="I298" t="s">
        <v>669</v>
      </c>
      <c r="J298" t="s">
        <v>13</v>
      </c>
      <c r="K298" t="s">
        <v>651</v>
      </c>
    </row>
    <row r="299" spans="1:11">
      <c r="A299" t="s">
        <v>76</v>
      </c>
      <c r="B299" t="s">
        <v>4349</v>
      </c>
      <c r="C299" t="s">
        <v>4350</v>
      </c>
      <c r="D299" s="96">
        <f>Prices!$D$69</f>
        <v>95.938375350140063</v>
      </c>
      <c r="F299">
        <v>109.49</v>
      </c>
      <c r="G299" t="s">
        <v>4351</v>
      </c>
      <c r="H299" t="s">
        <v>12</v>
      </c>
      <c r="I299" t="s">
        <v>4350</v>
      </c>
      <c r="J299" t="s">
        <v>1610</v>
      </c>
      <c r="K299" t="s">
        <v>4352</v>
      </c>
    </row>
    <row r="300" spans="1:11">
      <c r="A300" t="s">
        <v>39</v>
      </c>
      <c r="B300" t="s">
        <v>3882</v>
      </c>
      <c r="C300" t="s">
        <v>3883</v>
      </c>
      <c r="D300" s="96">
        <f>Prices!$D$69</f>
        <v>95.938375350140063</v>
      </c>
      <c r="F300">
        <v>2.08</v>
      </c>
      <c r="G300" t="s">
        <v>3884</v>
      </c>
      <c r="H300" t="s">
        <v>12</v>
      </c>
      <c r="I300" t="s">
        <v>3883</v>
      </c>
      <c r="J300" t="s">
        <v>1610</v>
      </c>
      <c r="K300" t="s">
        <v>3885</v>
      </c>
    </row>
    <row r="301" spans="1:11">
      <c r="A301" t="s">
        <v>39</v>
      </c>
      <c r="B301" t="s">
        <v>175</v>
      </c>
      <c r="C301" t="s">
        <v>176</v>
      </c>
      <c r="D301" s="96">
        <f>Prices!$D$69</f>
        <v>95.938375350140063</v>
      </c>
      <c r="F301">
        <v>123.04</v>
      </c>
      <c r="G301" t="s">
        <v>177</v>
      </c>
      <c r="H301" t="s">
        <v>12</v>
      </c>
      <c r="I301" t="s">
        <v>176</v>
      </c>
      <c r="J301" t="s">
        <v>13</v>
      </c>
    </row>
    <row r="302" spans="1:11">
      <c r="A302" t="s">
        <v>76</v>
      </c>
      <c r="B302" t="s">
        <v>3719</v>
      </c>
      <c r="C302" t="s">
        <v>3720</v>
      </c>
      <c r="D302" s="96">
        <f>Prices!$D$69</f>
        <v>95.938375350140063</v>
      </c>
      <c r="F302">
        <v>49.04</v>
      </c>
      <c r="G302" t="s">
        <v>3721</v>
      </c>
      <c r="H302" t="s">
        <v>12</v>
      </c>
      <c r="I302" t="s">
        <v>3720</v>
      </c>
      <c r="J302" t="s">
        <v>1610</v>
      </c>
    </row>
    <row r="303" spans="1:11">
      <c r="A303" t="s">
        <v>76</v>
      </c>
      <c r="B303" t="s">
        <v>2377</v>
      </c>
      <c r="C303" t="s">
        <v>2378</v>
      </c>
      <c r="D303" s="96">
        <f>Prices!$D$69</f>
        <v>95.938375350140063</v>
      </c>
      <c r="F303">
        <v>14.19</v>
      </c>
      <c r="G303" t="s">
        <v>2379</v>
      </c>
      <c r="H303" t="s">
        <v>12</v>
      </c>
      <c r="I303" t="s">
        <v>2378</v>
      </c>
      <c r="J303" t="s">
        <v>1610</v>
      </c>
      <c r="K303" t="s">
        <v>2380</v>
      </c>
    </row>
    <row r="304" spans="1:11">
      <c r="A304" t="s">
        <v>76</v>
      </c>
      <c r="B304" t="s">
        <v>752</v>
      </c>
      <c r="C304" t="s">
        <v>753</v>
      </c>
      <c r="D304" s="96">
        <f>Prices!$D$69</f>
        <v>95.938375350140063</v>
      </c>
      <c r="F304">
        <v>0</v>
      </c>
      <c r="G304" t="s">
        <v>754</v>
      </c>
      <c r="I304" t="s">
        <v>753</v>
      </c>
      <c r="J304" t="s">
        <v>13</v>
      </c>
      <c r="K304" t="s">
        <v>755</v>
      </c>
    </row>
    <row r="305" spans="1:11">
      <c r="A305" t="s">
        <v>76</v>
      </c>
      <c r="B305" t="s">
        <v>4353</v>
      </c>
      <c r="C305" t="s">
        <v>4354</v>
      </c>
      <c r="D305" s="96">
        <f>Prices!$D$69</f>
        <v>95.938375350140063</v>
      </c>
      <c r="F305">
        <v>858.36</v>
      </c>
      <c r="G305" t="s">
        <v>4355</v>
      </c>
      <c r="H305" t="s">
        <v>12</v>
      </c>
      <c r="I305" t="s">
        <v>4354</v>
      </c>
      <c r="J305" t="s">
        <v>1610</v>
      </c>
      <c r="K305" t="s">
        <v>4356</v>
      </c>
    </row>
    <row r="306" spans="1:11">
      <c r="A306" t="s">
        <v>39</v>
      </c>
      <c r="B306" t="s">
        <v>3486</v>
      </c>
      <c r="C306" t="s">
        <v>3487</v>
      </c>
      <c r="D306" s="96">
        <f>Prices!$D$69</f>
        <v>95.938375350140063</v>
      </c>
      <c r="F306">
        <v>38.119999999999997</v>
      </c>
      <c r="G306" t="s">
        <v>3488</v>
      </c>
      <c r="H306" t="s">
        <v>12</v>
      </c>
      <c r="I306" t="s">
        <v>3487</v>
      </c>
      <c r="J306" t="s">
        <v>1610</v>
      </c>
    </row>
    <row r="307" spans="1:11">
      <c r="A307" t="s">
        <v>39</v>
      </c>
      <c r="B307" t="s">
        <v>409</v>
      </c>
      <c r="C307" t="s">
        <v>410</v>
      </c>
      <c r="D307" s="96">
        <f>Prices!$D$69</f>
        <v>95.938375350140063</v>
      </c>
      <c r="F307">
        <v>56.59</v>
      </c>
      <c r="G307" t="s">
        <v>411</v>
      </c>
      <c r="H307" t="s">
        <v>12</v>
      </c>
      <c r="I307" t="s">
        <v>410</v>
      </c>
      <c r="J307" t="s">
        <v>13</v>
      </c>
    </row>
    <row r="308" spans="1:11">
      <c r="A308" t="s">
        <v>76</v>
      </c>
      <c r="B308" t="s">
        <v>4361</v>
      </c>
      <c r="C308" t="s">
        <v>4362</v>
      </c>
      <c r="D308" s="96">
        <f>Prices!$D$69</f>
        <v>95.938375350140063</v>
      </c>
      <c r="F308">
        <v>20.79</v>
      </c>
      <c r="G308" t="s">
        <v>4363</v>
      </c>
      <c r="H308" t="s">
        <v>12</v>
      </c>
      <c r="I308" t="s">
        <v>4362</v>
      </c>
      <c r="J308" t="s">
        <v>1610</v>
      </c>
      <c r="K308" t="s">
        <v>4364</v>
      </c>
    </row>
    <row r="309" spans="1:11">
      <c r="A309" t="s">
        <v>76</v>
      </c>
      <c r="B309" t="s">
        <v>4357</v>
      </c>
      <c r="C309" t="s">
        <v>4358</v>
      </c>
      <c r="D309" s="96">
        <f>Prices!$D$69</f>
        <v>95.938375350140063</v>
      </c>
      <c r="F309">
        <v>194.62</v>
      </c>
      <c r="G309" t="s">
        <v>4359</v>
      </c>
      <c r="H309" t="s">
        <v>12</v>
      </c>
      <c r="I309" t="s">
        <v>4358</v>
      </c>
      <c r="J309" t="s">
        <v>1610</v>
      </c>
      <c r="K309" t="s">
        <v>4360</v>
      </c>
    </row>
    <row r="310" spans="1:11">
      <c r="A310" t="s">
        <v>48</v>
      </c>
      <c r="B310" t="s">
        <v>539</v>
      </c>
      <c r="C310" t="s">
        <v>540</v>
      </c>
      <c r="D310" s="96">
        <f>Prices!$D$69</f>
        <v>95.938375350140063</v>
      </c>
      <c r="F310">
        <v>5.42</v>
      </c>
      <c r="G310" t="s">
        <v>541</v>
      </c>
      <c r="H310" t="s">
        <v>12</v>
      </c>
      <c r="I310" t="s">
        <v>540</v>
      </c>
      <c r="J310" t="s">
        <v>13</v>
      </c>
      <c r="K310" t="s">
        <v>542</v>
      </c>
    </row>
    <row r="311" spans="1:11">
      <c r="A311" t="s">
        <v>76</v>
      </c>
      <c r="B311" t="s">
        <v>2369</v>
      </c>
      <c r="C311" t="s">
        <v>2370</v>
      </c>
      <c r="D311" s="96">
        <f>Prices!$D$69</f>
        <v>95.938375350140063</v>
      </c>
      <c r="F311">
        <v>198.17</v>
      </c>
      <c r="G311" t="s">
        <v>2371</v>
      </c>
      <c r="H311" t="s">
        <v>12</v>
      </c>
      <c r="I311" t="s">
        <v>2370</v>
      </c>
      <c r="J311" t="s">
        <v>1610</v>
      </c>
      <c r="K311" t="s">
        <v>2372</v>
      </c>
    </row>
    <row r="312" spans="1:11" ht="30">
      <c r="A312" t="s">
        <v>76</v>
      </c>
      <c r="B312" s="1" t="s">
        <v>648</v>
      </c>
      <c r="C312" t="s">
        <v>649</v>
      </c>
      <c r="D312" s="96">
        <f>Prices!$D$69</f>
        <v>95.938375350140063</v>
      </c>
      <c r="F312">
        <v>0.49</v>
      </c>
      <c r="G312" t="s">
        <v>650</v>
      </c>
      <c r="H312" t="s">
        <v>12</v>
      </c>
      <c r="I312" t="s">
        <v>649</v>
      </c>
      <c r="J312" t="s">
        <v>13</v>
      </c>
      <c r="K312" t="s">
        <v>651</v>
      </c>
    </row>
    <row r="313" spans="1:11">
      <c r="A313" t="s">
        <v>76</v>
      </c>
      <c r="B313" t="s">
        <v>4365</v>
      </c>
      <c r="C313" t="s">
        <v>4366</v>
      </c>
      <c r="D313" s="96">
        <f>Prices!$D$69</f>
        <v>95.938375350140063</v>
      </c>
      <c r="F313">
        <v>109.69</v>
      </c>
      <c r="G313" t="s">
        <v>4367</v>
      </c>
      <c r="H313" t="s">
        <v>12</v>
      </c>
      <c r="I313" t="s">
        <v>4366</v>
      </c>
      <c r="J313" t="s">
        <v>1610</v>
      </c>
      <c r="K313" t="s">
        <v>4368</v>
      </c>
    </row>
    <row r="314" spans="1:11">
      <c r="A314" t="s">
        <v>39</v>
      </c>
      <c r="B314" t="s">
        <v>2863</v>
      </c>
      <c r="C314" t="s">
        <v>2864</v>
      </c>
      <c r="D314" s="96">
        <f>Prices!$D$69</f>
        <v>95.938375350140063</v>
      </c>
      <c r="F314">
        <v>0.05</v>
      </c>
      <c r="G314" t="s">
        <v>4208</v>
      </c>
      <c r="H314" t="s">
        <v>12</v>
      </c>
      <c r="I314" t="s">
        <v>2864</v>
      </c>
      <c r="J314" t="s">
        <v>1610</v>
      </c>
    </row>
    <row r="315" spans="1:11">
      <c r="A315" t="s">
        <v>39</v>
      </c>
      <c r="B315" t="s">
        <v>637</v>
      </c>
      <c r="C315" t="s">
        <v>622</v>
      </c>
      <c r="D315" s="96">
        <f>Prices!$D$69</f>
        <v>95.938375350140063</v>
      </c>
      <c r="F315">
        <v>163.69</v>
      </c>
      <c r="G315" t="s">
        <v>638</v>
      </c>
      <c r="H315" t="s">
        <v>12</v>
      </c>
      <c r="I315" t="s">
        <v>622</v>
      </c>
      <c r="J315" t="s">
        <v>13</v>
      </c>
    </row>
    <row r="316" spans="1:11">
      <c r="A316" t="s">
        <v>76</v>
      </c>
      <c r="B316" t="s">
        <v>2997</v>
      </c>
      <c r="C316" t="s">
        <v>2998</v>
      </c>
      <c r="D316" s="96">
        <f>Prices!$D$69</f>
        <v>95.938375350140063</v>
      </c>
      <c r="F316">
        <v>90.02</v>
      </c>
      <c r="G316" t="s">
        <v>2999</v>
      </c>
      <c r="H316" t="s">
        <v>12</v>
      </c>
      <c r="I316" t="s">
        <v>2998</v>
      </c>
      <c r="J316" t="s">
        <v>1610</v>
      </c>
      <c r="K316" t="s">
        <v>3000</v>
      </c>
    </row>
    <row r="317" spans="1:11">
      <c r="A317" t="s">
        <v>76</v>
      </c>
      <c r="B317" t="s">
        <v>4369</v>
      </c>
      <c r="C317" t="s">
        <v>4370</v>
      </c>
      <c r="D317" s="96">
        <f>Prices!$D$69</f>
        <v>95.938375350140063</v>
      </c>
      <c r="F317">
        <v>224.88</v>
      </c>
      <c r="G317" t="s">
        <v>4371</v>
      </c>
      <c r="H317" t="s">
        <v>12</v>
      </c>
      <c r="I317" t="s">
        <v>4370</v>
      </c>
      <c r="J317" t="s">
        <v>1610</v>
      </c>
      <c r="K317" t="s">
        <v>4372</v>
      </c>
    </row>
    <row r="318" spans="1:11">
      <c r="A318" t="s">
        <v>76</v>
      </c>
      <c r="B318" t="s">
        <v>2654</v>
      </c>
      <c r="C318" t="s">
        <v>2655</v>
      </c>
      <c r="D318" s="96">
        <f>Prices!$D$69</f>
        <v>95.938375350140063</v>
      </c>
      <c r="F318">
        <v>218.26</v>
      </c>
      <c r="G318" t="s">
        <v>2656</v>
      </c>
      <c r="H318" t="s">
        <v>12</v>
      </c>
      <c r="I318" t="s">
        <v>2655</v>
      </c>
      <c r="J318" t="s">
        <v>1610</v>
      </c>
      <c r="K318" t="s">
        <v>2657</v>
      </c>
    </row>
    <row r="319" spans="1:11">
      <c r="A319" t="s">
        <v>76</v>
      </c>
      <c r="B319" t="s">
        <v>2365</v>
      </c>
      <c r="C319" t="s">
        <v>2366</v>
      </c>
      <c r="D319" s="96">
        <f>Prices!$D$69</f>
        <v>95.938375350140063</v>
      </c>
      <c r="F319">
        <v>36.58</v>
      </c>
      <c r="G319" t="s">
        <v>2367</v>
      </c>
      <c r="H319" t="s">
        <v>12</v>
      </c>
      <c r="I319" t="s">
        <v>2366</v>
      </c>
      <c r="J319" t="s">
        <v>1610</v>
      </c>
      <c r="K319" t="s">
        <v>2368</v>
      </c>
    </row>
    <row r="320" spans="1:11">
      <c r="A320" t="s">
        <v>76</v>
      </c>
      <c r="B320" t="s">
        <v>644</v>
      </c>
      <c r="C320" t="s">
        <v>645</v>
      </c>
      <c r="D320" s="96">
        <f>Prices!$D$69</f>
        <v>95.938375350140063</v>
      </c>
      <c r="F320">
        <v>12.86</v>
      </c>
      <c r="G320" t="s">
        <v>646</v>
      </c>
      <c r="H320" t="s">
        <v>12</v>
      </c>
      <c r="I320" t="s">
        <v>645</v>
      </c>
      <c r="J320" t="s">
        <v>13</v>
      </c>
      <c r="K320" t="s">
        <v>647</v>
      </c>
    </row>
    <row r="321" spans="1:11">
      <c r="A321" t="s">
        <v>76</v>
      </c>
      <c r="B321" t="s">
        <v>4373</v>
      </c>
      <c r="C321" t="s">
        <v>4374</v>
      </c>
      <c r="D321" s="96">
        <f>Prices!$D$69</f>
        <v>95.938375350140063</v>
      </c>
      <c r="F321">
        <v>76.459999999999994</v>
      </c>
      <c r="G321" t="s">
        <v>4375</v>
      </c>
      <c r="H321" t="s">
        <v>12</v>
      </c>
      <c r="I321" t="s">
        <v>4374</v>
      </c>
      <c r="J321" t="s">
        <v>1610</v>
      </c>
      <c r="K321" t="s">
        <v>4376</v>
      </c>
    </row>
    <row r="322" spans="1:11">
      <c r="A322" t="s">
        <v>39</v>
      </c>
      <c r="B322" t="s">
        <v>2607</v>
      </c>
      <c r="C322" t="s">
        <v>2608</v>
      </c>
      <c r="D322" s="96">
        <f>Prices!$D$69</f>
        <v>95.938375350140063</v>
      </c>
      <c r="F322">
        <v>24.96</v>
      </c>
      <c r="G322" t="s">
        <v>2609</v>
      </c>
      <c r="H322" t="s">
        <v>12</v>
      </c>
      <c r="I322" t="s">
        <v>2608</v>
      </c>
      <c r="J322" t="s">
        <v>1610</v>
      </c>
    </row>
    <row r="323" spans="1:11">
      <c r="A323" t="s">
        <v>39</v>
      </c>
      <c r="B323" t="s">
        <v>89</v>
      </c>
      <c r="C323" t="s">
        <v>90</v>
      </c>
      <c r="D323" s="96">
        <f>Prices!$D$69</f>
        <v>95.938375350140063</v>
      </c>
      <c r="F323">
        <v>3.58</v>
      </c>
      <c r="G323" t="s">
        <v>91</v>
      </c>
      <c r="H323" t="s">
        <v>12</v>
      </c>
      <c r="I323" t="s">
        <v>90</v>
      </c>
      <c r="J323" t="s">
        <v>13</v>
      </c>
      <c r="K323" t="s">
        <v>92</v>
      </c>
    </row>
    <row r="324" spans="1:11">
      <c r="A324" t="s">
        <v>76</v>
      </c>
      <c r="B324" t="s">
        <v>2361</v>
      </c>
      <c r="C324" t="s">
        <v>2362</v>
      </c>
      <c r="D324" s="96">
        <f>Prices!$D$69</f>
        <v>95.938375350140063</v>
      </c>
      <c r="F324">
        <v>36.799999999999997</v>
      </c>
      <c r="G324" t="s">
        <v>2363</v>
      </c>
      <c r="H324" t="s">
        <v>12</v>
      </c>
      <c r="I324" t="s">
        <v>2362</v>
      </c>
      <c r="J324" t="s">
        <v>1610</v>
      </c>
      <c r="K324" t="s">
        <v>2364</v>
      </c>
    </row>
    <row r="325" spans="1:11">
      <c r="A325" t="s">
        <v>76</v>
      </c>
      <c r="B325" t="s">
        <v>83</v>
      </c>
      <c r="C325" t="s">
        <v>84</v>
      </c>
      <c r="D325" s="96">
        <f>Prices!$D$69</f>
        <v>95.938375350140063</v>
      </c>
      <c r="F325">
        <v>43.98</v>
      </c>
      <c r="G325" t="s">
        <v>85</v>
      </c>
      <c r="H325" t="s">
        <v>12</v>
      </c>
      <c r="I325" t="s">
        <v>84</v>
      </c>
      <c r="J325" t="s">
        <v>13</v>
      </c>
    </row>
    <row r="326" spans="1:11">
      <c r="A326" t="s">
        <v>76</v>
      </c>
      <c r="B326" t="s">
        <v>4377</v>
      </c>
      <c r="C326" t="s">
        <v>4378</v>
      </c>
      <c r="D326" s="96">
        <f>Prices!$D$69</f>
        <v>95.938375350140063</v>
      </c>
      <c r="F326">
        <v>122.99</v>
      </c>
      <c r="G326" t="s">
        <v>4379</v>
      </c>
      <c r="H326" t="s">
        <v>12</v>
      </c>
      <c r="I326" t="s">
        <v>4378</v>
      </c>
      <c r="J326" t="s">
        <v>1610</v>
      </c>
      <c r="K326" t="s">
        <v>4380</v>
      </c>
    </row>
    <row r="327" spans="1:11">
      <c r="A327" t="s">
        <v>39</v>
      </c>
      <c r="B327" t="s">
        <v>3594</v>
      </c>
      <c r="C327" t="s">
        <v>3595</v>
      </c>
      <c r="D327" s="96">
        <f>Prices!$D$69</f>
        <v>95.938375350140063</v>
      </c>
      <c r="F327">
        <v>24.89</v>
      </c>
      <c r="G327" t="s">
        <v>3596</v>
      </c>
      <c r="H327" t="s">
        <v>12</v>
      </c>
      <c r="I327" t="s">
        <v>3595</v>
      </c>
      <c r="J327" t="s">
        <v>1610</v>
      </c>
    </row>
    <row r="328" spans="1:11">
      <c r="A328" t="s">
        <v>39</v>
      </c>
      <c r="B328" t="s">
        <v>813</v>
      </c>
      <c r="C328" t="s">
        <v>814</v>
      </c>
      <c r="D328" s="96">
        <f>Prices!$D$69</f>
        <v>95.938375350140063</v>
      </c>
      <c r="F328">
        <v>15.53</v>
      </c>
      <c r="G328" t="s">
        <v>815</v>
      </c>
      <c r="H328" t="s">
        <v>12</v>
      </c>
      <c r="I328" t="s">
        <v>814</v>
      </c>
      <c r="J328" t="s">
        <v>13</v>
      </c>
    </row>
    <row r="329" spans="1:11">
      <c r="A329" t="s">
        <v>76</v>
      </c>
      <c r="B329" t="s">
        <v>4384</v>
      </c>
      <c r="C329" t="s">
        <v>4385</v>
      </c>
      <c r="D329" s="96">
        <f>Prices!$D$69</f>
        <v>95.938375350140063</v>
      </c>
      <c r="F329">
        <v>99.83</v>
      </c>
      <c r="G329" t="s">
        <v>4386</v>
      </c>
      <c r="H329" t="s">
        <v>12</v>
      </c>
      <c r="I329" t="s">
        <v>4385</v>
      </c>
      <c r="J329" t="s">
        <v>1610</v>
      </c>
      <c r="K329" t="s">
        <v>4387</v>
      </c>
    </row>
    <row r="330" spans="1:11">
      <c r="A330" t="s">
        <v>76</v>
      </c>
      <c r="B330" t="s">
        <v>4381</v>
      </c>
      <c r="C330" t="s">
        <v>4382</v>
      </c>
      <c r="D330" s="96">
        <f>Prices!$D$69</f>
        <v>95.938375350140063</v>
      </c>
      <c r="F330">
        <v>298.2</v>
      </c>
      <c r="G330" t="s">
        <v>4383</v>
      </c>
      <c r="H330" t="s">
        <v>12</v>
      </c>
      <c r="I330" t="s">
        <v>4382</v>
      </c>
      <c r="J330" t="s">
        <v>1610</v>
      </c>
    </row>
    <row r="331" spans="1:11">
      <c r="A331" t="s">
        <v>48</v>
      </c>
      <c r="B331" t="s">
        <v>898</v>
      </c>
      <c r="C331" t="s">
        <v>899</v>
      </c>
      <c r="D331" s="96">
        <f>Prices!$D$69</f>
        <v>95.938375350140063</v>
      </c>
      <c r="F331">
        <v>10.58</v>
      </c>
      <c r="G331" t="s">
        <v>900</v>
      </c>
      <c r="H331" t="s">
        <v>12</v>
      </c>
      <c r="I331" t="s">
        <v>899</v>
      </c>
      <c r="J331" t="s">
        <v>13</v>
      </c>
      <c r="K331" t="s">
        <v>901</v>
      </c>
    </row>
    <row r="332" spans="1:11">
      <c r="A332" t="s">
        <v>76</v>
      </c>
      <c r="B332" t="s">
        <v>4388</v>
      </c>
      <c r="C332" t="s">
        <v>4389</v>
      </c>
      <c r="D332" s="96">
        <f>Prices!$D$69</f>
        <v>95.938375350140063</v>
      </c>
      <c r="F332">
        <v>58.43</v>
      </c>
      <c r="G332" t="s">
        <v>4390</v>
      </c>
      <c r="H332" t="s">
        <v>12</v>
      </c>
      <c r="I332" t="s">
        <v>4389</v>
      </c>
      <c r="J332" t="s">
        <v>1610</v>
      </c>
      <c r="K332" t="s">
        <v>4391</v>
      </c>
    </row>
    <row r="333" spans="1:11">
      <c r="A333" t="s">
        <v>39</v>
      </c>
      <c r="B333" t="s">
        <v>3469</v>
      </c>
      <c r="C333" t="s">
        <v>3470</v>
      </c>
      <c r="D333" s="96">
        <f>Prices!$D$69</f>
        <v>95.938375350140063</v>
      </c>
      <c r="F333">
        <v>31.62</v>
      </c>
      <c r="G333" t="s">
        <v>3471</v>
      </c>
      <c r="H333" t="s">
        <v>12</v>
      </c>
      <c r="I333" t="s">
        <v>3470</v>
      </c>
      <c r="J333" t="s">
        <v>1610</v>
      </c>
    </row>
    <row r="334" spans="1:11">
      <c r="A334" t="s">
        <v>76</v>
      </c>
      <c r="B334" t="s">
        <v>904</v>
      </c>
      <c r="C334" t="s">
        <v>905</v>
      </c>
      <c r="D334" s="96">
        <f>Prices!$D$69</f>
        <v>95.938375350140063</v>
      </c>
      <c r="F334">
        <v>114.89</v>
      </c>
      <c r="G334" t="s">
        <v>906</v>
      </c>
      <c r="H334" t="s">
        <v>12</v>
      </c>
      <c r="I334" t="s">
        <v>905</v>
      </c>
      <c r="J334" t="s">
        <v>13</v>
      </c>
      <c r="K334" t="s">
        <v>907</v>
      </c>
    </row>
    <row r="335" spans="1:11">
      <c r="A335" t="s">
        <v>76</v>
      </c>
      <c r="B335" t="s">
        <v>4392</v>
      </c>
      <c r="C335" t="s">
        <v>4393</v>
      </c>
      <c r="D335" s="96">
        <f>Prices!$D$69</f>
        <v>95.938375350140063</v>
      </c>
      <c r="F335">
        <v>22.55</v>
      </c>
      <c r="G335" t="s">
        <v>4394</v>
      </c>
      <c r="H335" t="s">
        <v>12</v>
      </c>
      <c r="I335" t="s">
        <v>4393</v>
      </c>
      <c r="J335" t="s">
        <v>1610</v>
      </c>
      <c r="K335" t="s">
        <v>4395</v>
      </c>
    </row>
    <row r="336" spans="1:11">
      <c r="A336" t="s">
        <v>39</v>
      </c>
      <c r="B336" t="s">
        <v>4259</v>
      </c>
      <c r="C336" t="s">
        <v>2540</v>
      </c>
      <c r="D336" s="96">
        <f>Prices!$D$69</f>
        <v>95.938375350140063</v>
      </c>
      <c r="F336">
        <v>20.62</v>
      </c>
      <c r="G336" t="s">
        <v>4260</v>
      </c>
      <c r="H336" t="s">
        <v>12</v>
      </c>
      <c r="I336" t="s">
        <v>2540</v>
      </c>
      <c r="J336" t="s">
        <v>1610</v>
      </c>
    </row>
    <row r="337" spans="1:11">
      <c r="A337" t="s">
        <v>48</v>
      </c>
      <c r="B337" t="s">
        <v>135</v>
      </c>
      <c r="C337" t="s">
        <v>136</v>
      </c>
      <c r="D337" s="96">
        <f>Prices!$D$69</f>
        <v>95.938375350140063</v>
      </c>
      <c r="F337">
        <v>0</v>
      </c>
      <c r="G337" t="s">
        <v>137</v>
      </c>
      <c r="I337" t="s">
        <v>136</v>
      </c>
      <c r="J337" t="s">
        <v>13</v>
      </c>
      <c r="K337" t="s">
        <v>138</v>
      </c>
    </row>
    <row r="338" spans="1:11">
      <c r="A338" t="s">
        <v>76</v>
      </c>
      <c r="B338" t="s">
        <v>4396</v>
      </c>
      <c r="C338" t="s">
        <v>4397</v>
      </c>
      <c r="D338" s="96">
        <f>Prices!$D$69</f>
        <v>95.938375350140063</v>
      </c>
      <c r="F338">
        <v>14.61</v>
      </c>
      <c r="G338" t="s">
        <v>4398</v>
      </c>
      <c r="H338" t="s">
        <v>12</v>
      </c>
      <c r="I338" t="s">
        <v>4397</v>
      </c>
      <c r="J338" t="s">
        <v>1610</v>
      </c>
      <c r="K338" t="s">
        <v>4399</v>
      </c>
    </row>
    <row r="339" spans="1:11">
      <c r="A339" t="s">
        <v>39</v>
      </c>
      <c r="B339" t="s">
        <v>2787</v>
      </c>
      <c r="C339" t="s">
        <v>2788</v>
      </c>
      <c r="D339" s="96">
        <f>Prices!$D$69</f>
        <v>95.938375350140063</v>
      </c>
      <c r="F339">
        <v>16.22</v>
      </c>
      <c r="G339" t="s">
        <v>2789</v>
      </c>
      <c r="H339" t="s">
        <v>12</v>
      </c>
      <c r="I339" t="s">
        <v>2788</v>
      </c>
      <c r="J339" t="s">
        <v>1610</v>
      </c>
    </row>
    <row r="340" spans="1:11">
      <c r="A340" t="s">
        <v>76</v>
      </c>
      <c r="B340" t="s">
        <v>908</v>
      </c>
      <c r="C340" t="s">
        <v>909</v>
      </c>
      <c r="D340" s="96">
        <f>Prices!$D$69</f>
        <v>95.938375350140063</v>
      </c>
      <c r="F340">
        <v>21.1</v>
      </c>
      <c r="G340" t="s">
        <v>910</v>
      </c>
      <c r="H340" t="s">
        <v>12</v>
      </c>
      <c r="I340" t="s">
        <v>909</v>
      </c>
      <c r="J340" t="s">
        <v>13</v>
      </c>
    </row>
    <row r="341" spans="1:11">
      <c r="A341" t="s">
        <v>76</v>
      </c>
      <c r="B341" t="s">
        <v>2242</v>
      </c>
      <c r="C341" t="s">
        <v>2243</v>
      </c>
      <c r="D341" s="96">
        <f>Prices!$D$69</f>
        <v>95.938375350140063</v>
      </c>
      <c r="F341">
        <v>1.91</v>
      </c>
      <c r="G341" t="s">
        <v>2244</v>
      </c>
      <c r="H341" t="s">
        <v>12</v>
      </c>
      <c r="I341" t="s">
        <v>2243</v>
      </c>
      <c r="J341" t="s">
        <v>1610</v>
      </c>
      <c r="K341" t="s">
        <v>2245</v>
      </c>
    </row>
    <row r="342" spans="1:11">
      <c r="A342" t="s">
        <v>76</v>
      </c>
      <c r="B342" t="s">
        <v>4400</v>
      </c>
      <c r="C342" t="s">
        <v>4401</v>
      </c>
      <c r="D342" s="96">
        <f>Prices!$D$69</f>
        <v>95.938375350140063</v>
      </c>
      <c r="F342">
        <v>8.6199999999999992</v>
      </c>
      <c r="G342" t="s">
        <v>4402</v>
      </c>
      <c r="H342" t="s">
        <v>12</v>
      </c>
      <c r="I342" t="s">
        <v>4401</v>
      </c>
      <c r="J342" t="s">
        <v>1610</v>
      </c>
      <c r="K342" t="s">
        <v>4403</v>
      </c>
    </row>
    <row r="343" spans="1:11">
      <c r="A343" t="s">
        <v>76</v>
      </c>
      <c r="B343" t="s">
        <v>4404</v>
      </c>
      <c r="C343" t="s">
        <v>4405</v>
      </c>
      <c r="D343" s="96">
        <f>Prices!$D$69</f>
        <v>95.938375350140063</v>
      </c>
      <c r="F343">
        <v>1.47</v>
      </c>
      <c r="G343" t="s">
        <v>4406</v>
      </c>
      <c r="H343" t="s">
        <v>12</v>
      </c>
      <c r="I343" t="s">
        <v>4405</v>
      </c>
      <c r="J343" t="s">
        <v>1610</v>
      </c>
      <c r="K343" t="s">
        <v>4407</v>
      </c>
    </row>
    <row r="344" spans="1:11">
      <c r="A344" t="s">
        <v>23</v>
      </c>
      <c r="B344" t="s">
        <v>4308</v>
      </c>
      <c r="C344" t="s">
        <v>4309</v>
      </c>
      <c r="D344" s="96">
        <f>Prices!$D$69</f>
        <v>95.938375350140063</v>
      </c>
      <c r="F344">
        <v>451.42</v>
      </c>
      <c r="G344" t="s">
        <v>4310</v>
      </c>
      <c r="H344" t="s">
        <v>12</v>
      </c>
      <c r="I344" t="s">
        <v>4309</v>
      </c>
      <c r="J344" t="s">
        <v>1610</v>
      </c>
      <c r="K344" t="s">
        <v>4311</v>
      </c>
    </row>
    <row r="345" spans="1:11">
      <c r="A345" t="s">
        <v>76</v>
      </c>
      <c r="B345" t="s">
        <v>4408</v>
      </c>
      <c r="C345" t="s">
        <v>4409</v>
      </c>
      <c r="D345" s="96">
        <f>Prices!$D$69</f>
        <v>95.938375350140063</v>
      </c>
      <c r="F345">
        <v>261.5</v>
      </c>
      <c r="G345" t="s">
        <v>4410</v>
      </c>
      <c r="H345" t="s">
        <v>12</v>
      </c>
      <c r="I345" t="s">
        <v>4409</v>
      </c>
      <c r="J345" t="s">
        <v>1610</v>
      </c>
      <c r="K345" t="s">
        <v>4411</v>
      </c>
    </row>
    <row r="346" spans="1:11">
      <c r="A346" t="s">
        <v>76</v>
      </c>
      <c r="B346" t="s">
        <v>912</v>
      </c>
      <c r="C346" t="s">
        <v>913</v>
      </c>
      <c r="D346" s="96">
        <f>Prices!$D$69</f>
        <v>95.938375350140063</v>
      </c>
      <c r="F346">
        <v>92.64</v>
      </c>
      <c r="G346" t="s">
        <v>914</v>
      </c>
      <c r="H346" t="s">
        <v>12</v>
      </c>
      <c r="I346" t="s">
        <v>913</v>
      </c>
      <c r="J346" t="s">
        <v>13</v>
      </c>
      <c r="K346" t="s">
        <v>915</v>
      </c>
    </row>
    <row r="347" spans="1:11">
      <c r="A347" t="s">
        <v>76</v>
      </c>
      <c r="B347" t="s">
        <v>352</v>
      </c>
      <c r="C347" t="s">
        <v>353</v>
      </c>
      <c r="D347" s="96">
        <f>Prices!$D$69</f>
        <v>95.938375350140063</v>
      </c>
      <c r="F347">
        <v>149.75</v>
      </c>
      <c r="G347" t="s">
        <v>354</v>
      </c>
      <c r="H347" t="s">
        <v>12</v>
      </c>
      <c r="I347" t="s">
        <v>353</v>
      </c>
      <c r="J347" t="s">
        <v>13</v>
      </c>
      <c r="K347" t="s">
        <v>355</v>
      </c>
    </row>
    <row r="348" spans="1:11">
      <c r="A348" t="s">
        <v>10</v>
      </c>
      <c r="B348" t="s">
        <v>4415</v>
      </c>
      <c r="C348" t="s">
        <v>4416</v>
      </c>
      <c r="D348" s="96">
        <f>Prices!$D$69</f>
        <v>95.938375350140063</v>
      </c>
      <c r="F348">
        <v>22.35</v>
      </c>
      <c r="G348" t="s">
        <v>4417</v>
      </c>
      <c r="H348" t="s">
        <v>12</v>
      </c>
      <c r="I348" t="s">
        <v>4416</v>
      </c>
      <c r="J348" t="s">
        <v>1610</v>
      </c>
      <c r="K348" t="s">
        <v>4418</v>
      </c>
    </row>
    <row r="349" spans="1:11">
      <c r="A349" t="s">
        <v>76</v>
      </c>
      <c r="B349" t="s">
        <v>4412</v>
      </c>
      <c r="C349" t="s">
        <v>4413</v>
      </c>
      <c r="D349" s="96">
        <f>Prices!$D$69</f>
        <v>95.938375350140063</v>
      </c>
      <c r="F349">
        <v>216.42</v>
      </c>
      <c r="G349" t="s">
        <v>4414</v>
      </c>
      <c r="H349" t="s">
        <v>12</v>
      </c>
      <c r="I349" t="s">
        <v>4413</v>
      </c>
      <c r="J349" t="s">
        <v>1610</v>
      </c>
    </row>
    <row r="350" spans="1:11">
      <c r="A350" t="s">
        <v>76</v>
      </c>
      <c r="B350" t="s">
        <v>916</v>
      </c>
      <c r="C350" t="s">
        <v>917</v>
      </c>
      <c r="D350" s="96">
        <f>Prices!$D$69</f>
        <v>95.938375350140063</v>
      </c>
      <c r="F350">
        <v>27.18</v>
      </c>
      <c r="G350" t="s">
        <v>918</v>
      </c>
      <c r="H350" t="s">
        <v>12</v>
      </c>
      <c r="I350" t="s">
        <v>917</v>
      </c>
      <c r="J350" t="s">
        <v>13</v>
      </c>
      <c r="K350" t="s">
        <v>919</v>
      </c>
    </row>
    <row r="351" spans="1:11">
      <c r="A351" t="s">
        <v>76</v>
      </c>
      <c r="B351" t="s">
        <v>2291</v>
      </c>
      <c r="C351" t="s">
        <v>2292</v>
      </c>
      <c r="D351" s="96">
        <f>Prices!$D$69</f>
        <v>95.938375350140063</v>
      </c>
      <c r="F351">
        <v>10.32</v>
      </c>
      <c r="G351" t="s">
        <v>2293</v>
      </c>
      <c r="H351" t="s">
        <v>12</v>
      </c>
      <c r="I351" t="s">
        <v>2292</v>
      </c>
      <c r="J351" t="s">
        <v>1610</v>
      </c>
      <c r="K351" t="s">
        <v>2294</v>
      </c>
    </row>
    <row r="352" spans="1:11">
      <c r="A352" t="s">
        <v>76</v>
      </c>
      <c r="B352" t="s">
        <v>4419</v>
      </c>
      <c r="C352" t="s">
        <v>4420</v>
      </c>
      <c r="D352" s="96">
        <f>Prices!$D$69</f>
        <v>95.938375350140063</v>
      </c>
      <c r="F352">
        <v>210.85</v>
      </c>
      <c r="G352" t="s">
        <v>4421</v>
      </c>
      <c r="H352" t="s">
        <v>12</v>
      </c>
      <c r="I352" t="s">
        <v>4420</v>
      </c>
      <c r="J352" t="s">
        <v>1610</v>
      </c>
      <c r="K352" t="s">
        <v>4422</v>
      </c>
    </row>
    <row r="353" spans="1:11">
      <c r="A353" t="s">
        <v>76</v>
      </c>
      <c r="B353" t="s">
        <v>292</v>
      </c>
      <c r="C353" t="s">
        <v>293</v>
      </c>
      <c r="D353" s="96">
        <f>Prices!$D$69</f>
        <v>95.938375350140063</v>
      </c>
      <c r="F353">
        <v>0</v>
      </c>
      <c r="G353" t="s">
        <v>442</v>
      </c>
      <c r="I353" t="s">
        <v>293</v>
      </c>
      <c r="J353" t="s">
        <v>13</v>
      </c>
      <c r="K353" t="s">
        <v>294</v>
      </c>
    </row>
    <row r="354" spans="1:11">
      <c r="A354" t="s">
        <v>3080</v>
      </c>
      <c r="B354" t="s">
        <v>3081</v>
      </c>
      <c r="C354" t="s">
        <v>3082</v>
      </c>
      <c r="D354" s="96">
        <f>Prices!$D$69</f>
        <v>95.938375350140063</v>
      </c>
      <c r="F354">
        <v>0</v>
      </c>
      <c r="G354" t="s">
        <v>3083</v>
      </c>
      <c r="I354" t="s">
        <v>3082</v>
      </c>
      <c r="J354" t="s">
        <v>1610</v>
      </c>
      <c r="K354" t="s">
        <v>3084</v>
      </c>
    </row>
    <row r="355" spans="1:11">
      <c r="A355" t="s">
        <v>76</v>
      </c>
      <c r="B355" t="s">
        <v>4423</v>
      </c>
      <c r="C355" t="s">
        <v>4424</v>
      </c>
      <c r="D355" s="96">
        <f>Prices!$D$69</f>
        <v>95.938375350140063</v>
      </c>
      <c r="F355">
        <v>130.62</v>
      </c>
      <c r="G355" t="s">
        <v>4425</v>
      </c>
      <c r="H355" t="s">
        <v>12</v>
      </c>
      <c r="I355" t="s">
        <v>4424</v>
      </c>
      <c r="J355" t="s">
        <v>1610</v>
      </c>
      <c r="K355" t="s">
        <v>4426</v>
      </c>
    </row>
    <row r="356" spans="1:11">
      <c r="A356" t="s">
        <v>76</v>
      </c>
      <c r="B356" t="s">
        <v>923</v>
      </c>
      <c r="C356" t="s">
        <v>924</v>
      </c>
      <c r="D356" s="96">
        <f>Prices!$D$69</f>
        <v>95.938375350140063</v>
      </c>
      <c r="F356">
        <v>87.6</v>
      </c>
      <c r="G356" t="s">
        <v>925</v>
      </c>
      <c r="H356" t="s">
        <v>12</v>
      </c>
      <c r="I356" t="s">
        <v>924</v>
      </c>
      <c r="J356" t="s">
        <v>13</v>
      </c>
      <c r="K356" t="s">
        <v>926</v>
      </c>
    </row>
    <row r="357" spans="1:11">
      <c r="A357" t="s">
        <v>76</v>
      </c>
      <c r="B357" t="s">
        <v>4427</v>
      </c>
      <c r="C357" t="s">
        <v>4428</v>
      </c>
      <c r="D357" s="96">
        <f>Prices!$D$69</f>
        <v>95.938375350140063</v>
      </c>
      <c r="F357">
        <v>83.67</v>
      </c>
      <c r="G357" t="s">
        <v>4429</v>
      </c>
      <c r="H357" t="s">
        <v>12</v>
      </c>
      <c r="I357" t="s">
        <v>4428</v>
      </c>
      <c r="J357" t="s">
        <v>1610</v>
      </c>
      <c r="K357" t="s">
        <v>4430</v>
      </c>
    </row>
    <row r="358" spans="1:11">
      <c r="A358" t="s">
        <v>76</v>
      </c>
      <c r="B358" t="s">
        <v>2163</v>
      </c>
      <c r="C358" t="s">
        <v>2164</v>
      </c>
      <c r="D358" s="96">
        <f>Prices!$D$69</f>
        <v>95.938375350140063</v>
      </c>
      <c r="F358">
        <v>0.02</v>
      </c>
      <c r="G358" t="s">
        <v>2165</v>
      </c>
      <c r="H358" t="s">
        <v>12</v>
      </c>
      <c r="I358" t="s">
        <v>2164</v>
      </c>
      <c r="J358" t="s">
        <v>1610</v>
      </c>
      <c r="K358" t="s">
        <v>2166</v>
      </c>
    </row>
    <row r="359" spans="1:11">
      <c r="A359" t="s">
        <v>76</v>
      </c>
      <c r="B359" t="s">
        <v>4431</v>
      </c>
      <c r="C359" t="s">
        <v>4432</v>
      </c>
      <c r="D359" s="96">
        <f>Prices!$D$69</f>
        <v>95.938375350140063</v>
      </c>
      <c r="F359">
        <v>22.74</v>
      </c>
      <c r="G359" t="s">
        <v>4433</v>
      </c>
      <c r="H359" t="s">
        <v>12</v>
      </c>
      <c r="I359" t="s">
        <v>4432</v>
      </c>
      <c r="J359" t="s">
        <v>1610</v>
      </c>
      <c r="K359" t="s">
        <v>4434</v>
      </c>
    </row>
    <row r="360" spans="1:11">
      <c r="A360" t="s">
        <v>76</v>
      </c>
      <c r="B360" t="s">
        <v>2287</v>
      </c>
      <c r="C360" t="s">
        <v>2288</v>
      </c>
      <c r="D360" s="96">
        <f>Prices!$D$69</f>
        <v>95.938375350140063</v>
      </c>
      <c r="F360">
        <v>28.38</v>
      </c>
      <c r="G360" t="s">
        <v>2289</v>
      </c>
      <c r="H360" t="s">
        <v>12</v>
      </c>
      <c r="I360" t="s">
        <v>2288</v>
      </c>
      <c r="J360" t="s">
        <v>1610</v>
      </c>
      <c r="K360" t="s">
        <v>2290</v>
      </c>
    </row>
    <row r="361" spans="1:11">
      <c r="A361" t="s">
        <v>76</v>
      </c>
      <c r="B361" t="s">
        <v>3169</v>
      </c>
      <c r="C361" t="s">
        <v>3170</v>
      </c>
      <c r="D361" s="96">
        <f>Prices!$D$69</f>
        <v>95.938375350140063</v>
      </c>
      <c r="F361">
        <v>0</v>
      </c>
      <c r="G361" t="s">
        <v>3171</v>
      </c>
      <c r="I361" t="s">
        <v>3170</v>
      </c>
      <c r="J361" t="s">
        <v>1610</v>
      </c>
      <c r="K361" t="s">
        <v>3172</v>
      </c>
    </row>
    <row r="362" spans="1:11">
      <c r="A362" t="s">
        <v>76</v>
      </c>
      <c r="B362" t="s">
        <v>2929</v>
      </c>
      <c r="C362" t="s">
        <v>2930</v>
      </c>
      <c r="D362" s="96">
        <f>Prices!$D$69</f>
        <v>95.938375350140063</v>
      </c>
      <c r="F362">
        <v>0</v>
      </c>
      <c r="G362" t="s">
        <v>2931</v>
      </c>
      <c r="I362" t="s">
        <v>2930</v>
      </c>
      <c r="J362" t="s">
        <v>1610</v>
      </c>
      <c r="K362" t="s">
        <v>2932</v>
      </c>
    </row>
    <row r="363" spans="1:11">
      <c r="A363" t="s">
        <v>76</v>
      </c>
      <c r="B363" t="s">
        <v>2905</v>
      </c>
      <c r="C363" t="s">
        <v>2906</v>
      </c>
      <c r="D363" s="96">
        <f>Prices!$D$69</f>
        <v>95.938375350140063</v>
      </c>
      <c r="F363">
        <v>0</v>
      </c>
      <c r="G363" t="s">
        <v>2907</v>
      </c>
      <c r="I363" t="s">
        <v>2906</v>
      </c>
      <c r="J363" t="s">
        <v>1610</v>
      </c>
      <c r="K363" t="s">
        <v>2908</v>
      </c>
    </row>
    <row r="364" spans="1:11">
      <c r="A364" t="s">
        <v>76</v>
      </c>
      <c r="B364" t="s">
        <v>785</v>
      </c>
      <c r="C364" t="s">
        <v>786</v>
      </c>
      <c r="D364" s="96">
        <f>Prices!$G$110</f>
        <v>106.69781931464175</v>
      </c>
      <c r="F364">
        <v>36</v>
      </c>
      <c r="G364" t="s">
        <v>787</v>
      </c>
      <c r="H364" t="s">
        <v>12</v>
      </c>
      <c r="I364" t="s">
        <v>786</v>
      </c>
      <c r="J364" t="s">
        <v>13</v>
      </c>
    </row>
    <row r="365" spans="1:11">
      <c r="A365" t="s">
        <v>76</v>
      </c>
      <c r="B365" t="s">
        <v>4435</v>
      </c>
      <c r="C365" t="s">
        <v>4436</v>
      </c>
      <c r="D365" s="96">
        <f>Prices!$G$110</f>
        <v>106.69781931464175</v>
      </c>
      <c r="F365">
        <v>20.98</v>
      </c>
      <c r="G365" t="s">
        <v>4437</v>
      </c>
      <c r="H365" t="s">
        <v>12</v>
      </c>
      <c r="I365" t="s">
        <v>4436</v>
      </c>
      <c r="J365" t="s">
        <v>1610</v>
      </c>
      <c r="K365" t="s">
        <v>4438</v>
      </c>
    </row>
    <row r="366" spans="1:11">
      <c r="A366" t="s">
        <v>76</v>
      </c>
      <c r="B366" t="s">
        <v>927</v>
      </c>
      <c r="C366" t="s">
        <v>928</v>
      </c>
      <c r="D366" s="96">
        <f>Prices!$G$110</f>
        <v>106.69781931464175</v>
      </c>
      <c r="F366">
        <v>45.44</v>
      </c>
      <c r="G366" t="s">
        <v>929</v>
      </c>
      <c r="H366" t="s">
        <v>12</v>
      </c>
      <c r="I366" t="s">
        <v>928</v>
      </c>
      <c r="J366" t="s">
        <v>13</v>
      </c>
      <c r="K366" t="s">
        <v>930</v>
      </c>
    </row>
    <row r="367" spans="1:11">
      <c r="A367" t="s">
        <v>76</v>
      </c>
      <c r="B367" t="s">
        <v>2562</v>
      </c>
      <c r="C367" t="s">
        <v>2563</v>
      </c>
      <c r="D367" s="96">
        <f>Prices!$G$110</f>
        <v>106.69781931464175</v>
      </c>
      <c r="F367">
        <v>9.26</v>
      </c>
      <c r="G367" t="s">
        <v>2564</v>
      </c>
      <c r="H367" t="s">
        <v>12</v>
      </c>
      <c r="I367" t="s">
        <v>2563</v>
      </c>
      <c r="J367" t="s">
        <v>1610</v>
      </c>
    </row>
    <row r="368" spans="1:11">
      <c r="A368" t="s">
        <v>76</v>
      </c>
      <c r="B368" t="s">
        <v>2061</v>
      </c>
      <c r="C368" t="s">
        <v>2062</v>
      </c>
      <c r="D368" s="96">
        <f>Prices!$G$110</f>
        <v>106.69781931464175</v>
      </c>
      <c r="F368">
        <v>806.07</v>
      </c>
      <c r="G368" t="s">
        <v>2063</v>
      </c>
      <c r="H368" t="s">
        <v>12</v>
      </c>
      <c r="I368" t="s">
        <v>2062</v>
      </c>
      <c r="J368" t="s">
        <v>1610</v>
      </c>
      <c r="K368" t="s">
        <v>2064</v>
      </c>
    </row>
    <row r="369" spans="1:11">
      <c r="A369" t="s">
        <v>76</v>
      </c>
      <c r="B369" t="s">
        <v>330</v>
      </c>
      <c r="C369" t="s">
        <v>331</v>
      </c>
      <c r="D369" s="96">
        <f>Prices!$G$110</f>
        <v>106.69781931464175</v>
      </c>
      <c r="F369">
        <v>36.01</v>
      </c>
      <c r="G369" t="s">
        <v>332</v>
      </c>
      <c r="H369" t="s">
        <v>12</v>
      </c>
      <c r="I369" t="s">
        <v>331</v>
      </c>
      <c r="J369" t="s">
        <v>13</v>
      </c>
      <c r="K369" t="s">
        <v>333</v>
      </c>
    </row>
    <row r="370" spans="1:11">
      <c r="A370" t="s">
        <v>76</v>
      </c>
      <c r="B370" t="s">
        <v>4439</v>
      </c>
      <c r="C370" t="s">
        <v>4440</v>
      </c>
      <c r="D370" s="96">
        <f>Prices!$G$110</f>
        <v>106.69781931464175</v>
      </c>
      <c r="F370">
        <v>28.11</v>
      </c>
      <c r="G370" t="s">
        <v>4441</v>
      </c>
      <c r="H370" t="s">
        <v>12</v>
      </c>
      <c r="I370" t="s">
        <v>4440</v>
      </c>
      <c r="J370" t="s">
        <v>1610</v>
      </c>
      <c r="K370" t="s">
        <v>4442</v>
      </c>
    </row>
    <row r="371" spans="1:11">
      <c r="A371" t="s">
        <v>447</v>
      </c>
      <c r="B371" t="s">
        <v>772</v>
      </c>
      <c r="C371" t="s">
        <v>773</v>
      </c>
      <c r="D371" s="96">
        <f>Prices!$G$110</f>
        <v>106.69781931464175</v>
      </c>
      <c r="F371">
        <v>4.18</v>
      </c>
      <c r="G371" t="s">
        <v>774</v>
      </c>
      <c r="H371" t="s">
        <v>12</v>
      </c>
      <c r="I371" t="s">
        <v>773</v>
      </c>
      <c r="J371" t="s">
        <v>13</v>
      </c>
      <c r="K371" t="s">
        <v>775</v>
      </c>
    </row>
    <row r="372" spans="1:11">
      <c r="A372" t="s">
        <v>76</v>
      </c>
      <c r="B372" t="s">
        <v>3557</v>
      </c>
      <c r="C372" t="s">
        <v>3558</v>
      </c>
      <c r="D372" s="96">
        <f>Prices!$G$110</f>
        <v>106.69781931464175</v>
      </c>
      <c r="F372">
        <v>43.58</v>
      </c>
      <c r="G372" t="s">
        <v>3559</v>
      </c>
      <c r="H372" t="s">
        <v>12</v>
      </c>
      <c r="I372" t="s">
        <v>3558</v>
      </c>
      <c r="J372" t="s">
        <v>1610</v>
      </c>
    </row>
    <row r="373" spans="1:11">
      <c r="A373" t="s">
        <v>76</v>
      </c>
      <c r="B373" t="s">
        <v>4443</v>
      </c>
      <c r="C373" t="s">
        <v>4444</v>
      </c>
      <c r="D373" s="96">
        <f>Prices!$G$110</f>
        <v>106.69781931464175</v>
      </c>
      <c r="F373">
        <v>30</v>
      </c>
      <c r="G373" t="s">
        <v>4445</v>
      </c>
      <c r="H373" t="s">
        <v>12</v>
      </c>
      <c r="I373" t="s">
        <v>4444</v>
      </c>
      <c r="J373" t="s">
        <v>1610</v>
      </c>
      <c r="K373" t="s">
        <v>4446</v>
      </c>
    </row>
    <row r="374" spans="1:11">
      <c r="A374" t="s">
        <v>39</v>
      </c>
      <c r="B374" t="s">
        <v>295</v>
      </c>
      <c r="C374" t="s">
        <v>124</v>
      </c>
      <c r="D374" s="96">
        <f>Prices!$G$110</f>
        <v>106.69781931464175</v>
      </c>
      <c r="F374">
        <v>923.15</v>
      </c>
      <c r="G374" t="s">
        <v>296</v>
      </c>
      <c r="H374" t="s">
        <v>12</v>
      </c>
      <c r="I374" t="s">
        <v>124</v>
      </c>
      <c r="J374" t="s">
        <v>13</v>
      </c>
    </row>
    <row r="375" spans="1:11">
      <c r="A375" t="s">
        <v>76</v>
      </c>
      <c r="B375" t="s">
        <v>4447</v>
      </c>
      <c r="C375" t="s">
        <v>4448</v>
      </c>
      <c r="D375" s="96">
        <f>Prices!$G$110</f>
        <v>106.69781931464175</v>
      </c>
      <c r="F375">
        <v>61.15</v>
      </c>
      <c r="G375" t="s">
        <v>4449</v>
      </c>
      <c r="H375" t="s">
        <v>12</v>
      </c>
      <c r="I375" t="s">
        <v>4448</v>
      </c>
      <c r="J375" t="s">
        <v>1610</v>
      </c>
      <c r="K375" t="s">
        <v>4450</v>
      </c>
    </row>
    <row r="376" spans="1:11">
      <c r="A376" t="s">
        <v>76</v>
      </c>
      <c r="B376" t="s">
        <v>931</v>
      </c>
      <c r="C376" t="s">
        <v>932</v>
      </c>
      <c r="D376" s="96">
        <f>Prices!$G$110</f>
        <v>106.69781931464175</v>
      </c>
      <c r="F376">
        <v>164.58</v>
      </c>
      <c r="G376" t="s">
        <v>933</v>
      </c>
      <c r="H376" t="s">
        <v>12</v>
      </c>
      <c r="I376" t="s">
        <v>932</v>
      </c>
      <c r="J376" t="s">
        <v>13</v>
      </c>
      <c r="K376" t="s">
        <v>934</v>
      </c>
    </row>
    <row r="377" spans="1:11">
      <c r="A377" t="s">
        <v>76</v>
      </c>
      <c r="B377" t="s">
        <v>4451</v>
      </c>
      <c r="C377" t="s">
        <v>4452</v>
      </c>
      <c r="D377" s="96">
        <f>Prices!$G$110</f>
        <v>106.69781931464175</v>
      </c>
      <c r="F377">
        <v>194.06</v>
      </c>
      <c r="G377" t="s">
        <v>4453</v>
      </c>
      <c r="H377" t="s">
        <v>12</v>
      </c>
      <c r="I377" t="s">
        <v>4452</v>
      </c>
      <c r="J377" t="s">
        <v>1610</v>
      </c>
      <c r="K377" t="s">
        <v>4454</v>
      </c>
    </row>
    <row r="378" spans="1:11">
      <c r="A378" t="s">
        <v>39</v>
      </c>
      <c r="B378" t="s">
        <v>792</v>
      </c>
      <c r="C378" t="s">
        <v>793</v>
      </c>
      <c r="D378" s="96">
        <f>Prices!$G$110</f>
        <v>106.69781931464175</v>
      </c>
      <c r="F378">
        <v>25.31</v>
      </c>
      <c r="G378" t="s">
        <v>794</v>
      </c>
      <c r="H378" t="s">
        <v>12</v>
      </c>
      <c r="I378" t="s">
        <v>793</v>
      </c>
      <c r="J378" t="s">
        <v>13</v>
      </c>
      <c r="K378" t="s">
        <v>795</v>
      </c>
    </row>
    <row r="379" spans="1:11">
      <c r="A379" t="s">
        <v>76</v>
      </c>
      <c r="B379" t="s">
        <v>4455</v>
      </c>
      <c r="C379" t="s">
        <v>4456</v>
      </c>
      <c r="D379" s="96">
        <f>Prices!$G$110</f>
        <v>106.69781931464175</v>
      </c>
      <c r="F379">
        <v>17.3</v>
      </c>
      <c r="G379" t="s">
        <v>4457</v>
      </c>
      <c r="H379" t="s">
        <v>12</v>
      </c>
      <c r="I379" t="s">
        <v>4456</v>
      </c>
      <c r="J379" t="s">
        <v>1610</v>
      </c>
      <c r="K379" t="s">
        <v>4458</v>
      </c>
    </row>
    <row r="380" spans="1:11">
      <c r="A380" t="s">
        <v>76</v>
      </c>
      <c r="B380" t="s">
        <v>4459</v>
      </c>
      <c r="C380" t="s">
        <v>4460</v>
      </c>
      <c r="D380" s="96">
        <f>Prices!$G$110</f>
        <v>106.69781931464175</v>
      </c>
      <c r="F380">
        <v>37.17</v>
      </c>
      <c r="G380" t="s">
        <v>4461</v>
      </c>
      <c r="H380" t="s">
        <v>12</v>
      </c>
      <c r="I380" t="s">
        <v>4460</v>
      </c>
      <c r="J380" t="s">
        <v>1610</v>
      </c>
      <c r="K380" t="s">
        <v>4462</v>
      </c>
    </row>
    <row r="381" spans="1:11">
      <c r="A381" t="s">
        <v>39</v>
      </c>
      <c r="B381" t="s">
        <v>768</v>
      </c>
      <c r="C381" t="s">
        <v>769</v>
      </c>
      <c r="D381" s="96">
        <f>Prices!$G$110</f>
        <v>106.69781931464175</v>
      </c>
      <c r="F381">
        <v>29.99</v>
      </c>
      <c r="G381" t="s">
        <v>770</v>
      </c>
      <c r="H381" t="s">
        <v>12</v>
      </c>
      <c r="I381" t="s">
        <v>769</v>
      </c>
      <c r="J381" t="s">
        <v>13</v>
      </c>
      <c r="K381" t="s">
        <v>771</v>
      </c>
    </row>
    <row r="382" spans="1:11">
      <c r="A382" t="s">
        <v>76</v>
      </c>
      <c r="B382" t="s">
        <v>4463</v>
      </c>
      <c r="C382" t="s">
        <v>4464</v>
      </c>
      <c r="D382" s="96">
        <f>Prices!$G$110</f>
        <v>106.69781931464175</v>
      </c>
      <c r="F382">
        <v>97.7</v>
      </c>
      <c r="G382" t="s">
        <v>4465</v>
      </c>
      <c r="H382" t="s">
        <v>12</v>
      </c>
      <c r="I382" t="s">
        <v>4464</v>
      </c>
      <c r="J382" t="s">
        <v>1610</v>
      </c>
      <c r="K382" t="s">
        <v>4466</v>
      </c>
    </row>
    <row r="383" spans="1:11">
      <c r="A383" t="s">
        <v>39</v>
      </c>
      <c r="B383" t="s">
        <v>40</v>
      </c>
      <c r="C383" t="s">
        <v>41</v>
      </c>
      <c r="D383" s="96">
        <f>Prices!$G$110</f>
        <v>106.69781931464175</v>
      </c>
      <c r="F383">
        <v>21.03</v>
      </c>
      <c r="G383" t="s">
        <v>42</v>
      </c>
      <c r="H383" t="s">
        <v>12</v>
      </c>
      <c r="I383" t="s">
        <v>41</v>
      </c>
      <c r="J383" t="s">
        <v>13</v>
      </c>
      <c r="K383" t="s">
        <v>43</v>
      </c>
    </row>
    <row r="384" spans="1:11">
      <c r="A384" t="s">
        <v>76</v>
      </c>
      <c r="B384" t="s">
        <v>4467</v>
      </c>
      <c r="C384" t="s">
        <v>4468</v>
      </c>
      <c r="D384" s="96">
        <f>Prices!$G$110</f>
        <v>106.69781931464175</v>
      </c>
      <c r="F384">
        <v>245.32</v>
      </c>
      <c r="G384" t="s">
        <v>4469</v>
      </c>
      <c r="H384" t="s">
        <v>12</v>
      </c>
      <c r="I384" t="s">
        <v>4468</v>
      </c>
      <c r="J384" t="s">
        <v>1610</v>
      </c>
      <c r="K384" t="s">
        <v>4470</v>
      </c>
    </row>
    <row r="385" spans="1:11">
      <c r="A385" t="s">
        <v>76</v>
      </c>
      <c r="B385" t="s">
        <v>216</v>
      </c>
      <c r="C385" t="s">
        <v>217</v>
      </c>
      <c r="D385" s="96">
        <f>Prices!$G$110</f>
        <v>106.69781931464175</v>
      </c>
      <c r="F385">
        <v>22.07</v>
      </c>
      <c r="G385" t="s">
        <v>218</v>
      </c>
      <c r="H385" t="s">
        <v>12</v>
      </c>
      <c r="I385" t="s">
        <v>217</v>
      </c>
      <c r="J385" t="s">
        <v>13</v>
      </c>
      <c r="K385" t="s">
        <v>219</v>
      </c>
    </row>
    <row r="386" spans="1:11">
      <c r="A386" t="s">
        <v>76</v>
      </c>
      <c r="B386" t="s">
        <v>4471</v>
      </c>
      <c r="C386" t="s">
        <v>4472</v>
      </c>
      <c r="D386" s="96">
        <f>Prices!$G$110</f>
        <v>106.69781931464175</v>
      </c>
      <c r="F386">
        <v>467.73</v>
      </c>
      <c r="G386" t="s">
        <v>4473</v>
      </c>
      <c r="H386" t="s">
        <v>12</v>
      </c>
      <c r="I386" t="s">
        <v>4472</v>
      </c>
      <c r="J386" t="s">
        <v>1610</v>
      </c>
      <c r="K386" t="s">
        <v>4474</v>
      </c>
    </row>
    <row r="387" spans="1:11">
      <c r="A387" t="s">
        <v>76</v>
      </c>
      <c r="B387" t="s">
        <v>220</v>
      </c>
      <c r="C387" t="s">
        <v>221</v>
      </c>
      <c r="D387" s="96">
        <f>Prices!$G$110</f>
        <v>106.69781931464175</v>
      </c>
      <c r="F387">
        <v>23.38</v>
      </c>
      <c r="G387" t="s">
        <v>222</v>
      </c>
      <c r="H387" t="s">
        <v>12</v>
      </c>
      <c r="I387" t="s">
        <v>221</v>
      </c>
      <c r="J387" t="s">
        <v>13</v>
      </c>
      <c r="K387" t="s">
        <v>223</v>
      </c>
    </row>
    <row r="388" spans="1:11">
      <c r="A388" t="s">
        <v>76</v>
      </c>
      <c r="B388" t="s">
        <v>3663</v>
      </c>
      <c r="C388" t="s">
        <v>3664</v>
      </c>
      <c r="D388" s="96">
        <f>Prices!$G$110</f>
        <v>106.69781931464175</v>
      </c>
      <c r="F388">
        <v>44.2</v>
      </c>
      <c r="G388" t="s">
        <v>3665</v>
      </c>
      <c r="H388" t="s">
        <v>12</v>
      </c>
      <c r="I388" t="s">
        <v>3664</v>
      </c>
      <c r="J388" t="s">
        <v>1610</v>
      </c>
      <c r="K388" t="s">
        <v>3666</v>
      </c>
    </row>
    <row r="389" spans="1:11">
      <c r="A389" t="s">
        <v>76</v>
      </c>
      <c r="B389" t="s">
        <v>4475</v>
      </c>
      <c r="C389" t="s">
        <v>4476</v>
      </c>
      <c r="D389" s="96">
        <f>Prices!$G$110</f>
        <v>106.69781931464175</v>
      </c>
      <c r="F389">
        <v>34.200000000000003</v>
      </c>
      <c r="G389" t="s">
        <v>4477</v>
      </c>
      <c r="H389" t="s">
        <v>12</v>
      </c>
      <c r="I389" t="s">
        <v>4476</v>
      </c>
      <c r="J389" t="s">
        <v>1610</v>
      </c>
      <c r="K389" t="s">
        <v>4478</v>
      </c>
    </row>
    <row r="390" spans="1:11">
      <c r="A390" t="s">
        <v>48</v>
      </c>
      <c r="B390" t="s">
        <v>607</v>
      </c>
      <c r="C390" t="s">
        <v>608</v>
      </c>
      <c r="D390" s="96">
        <f>Prices!$G$110</f>
        <v>106.69781931464175</v>
      </c>
      <c r="F390">
        <v>0</v>
      </c>
      <c r="G390" t="s">
        <v>609</v>
      </c>
      <c r="I390" t="s">
        <v>608</v>
      </c>
      <c r="J390" t="s">
        <v>13</v>
      </c>
      <c r="K390" t="s">
        <v>542</v>
      </c>
    </row>
    <row r="391" spans="1:11">
      <c r="A391" t="s">
        <v>76</v>
      </c>
      <c r="B391" t="s">
        <v>2400</v>
      </c>
      <c r="C391" t="s">
        <v>2401</v>
      </c>
      <c r="D391" s="96">
        <f>Prices!$G$110</f>
        <v>106.69781931464175</v>
      </c>
      <c r="F391">
        <v>0.4</v>
      </c>
      <c r="G391" t="s">
        <v>2402</v>
      </c>
      <c r="H391" t="s">
        <v>12</v>
      </c>
      <c r="I391" t="s">
        <v>2401</v>
      </c>
      <c r="J391" t="s">
        <v>1610</v>
      </c>
      <c r="K391" t="s">
        <v>2298</v>
      </c>
    </row>
    <row r="392" spans="1:11">
      <c r="A392" t="s">
        <v>76</v>
      </c>
      <c r="B392" t="s">
        <v>2397</v>
      </c>
      <c r="C392" t="s">
        <v>2398</v>
      </c>
      <c r="D392" s="96">
        <f>Prices!$G$110</f>
        <v>106.69781931464175</v>
      </c>
      <c r="F392">
        <v>10.07</v>
      </c>
      <c r="G392" t="s">
        <v>2399</v>
      </c>
      <c r="H392" t="s">
        <v>12</v>
      </c>
      <c r="I392" t="s">
        <v>2398</v>
      </c>
      <c r="J392" t="s">
        <v>1610</v>
      </c>
      <c r="K392" t="s">
        <v>1721</v>
      </c>
    </row>
    <row r="393" spans="1:11">
      <c r="A393" t="s">
        <v>76</v>
      </c>
      <c r="B393" t="s">
        <v>4479</v>
      </c>
      <c r="C393" t="s">
        <v>4480</v>
      </c>
      <c r="D393" s="96">
        <f>Prices!$G$110</f>
        <v>106.69781931464175</v>
      </c>
      <c r="F393">
        <v>33.92</v>
      </c>
      <c r="G393" t="s">
        <v>4481</v>
      </c>
      <c r="H393" t="s">
        <v>12</v>
      </c>
      <c r="I393" t="s">
        <v>4480</v>
      </c>
      <c r="J393" t="s">
        <v>1610</v>
      </c>
      <c r="K393" t="s">
        <v>4482</v>
      </c>
    </row>
    <row r="394" spans="1:11">
      <c r="A394" t="s">
        <v>76</v>
      </c>
      <c r="B394" t="s">
        <v>4483</v>
      </c>
      <c r="C394" t="s">
        <v>4484</v>
      </c>
      <c r="D394" s="96">
        <f>Prices!$G$110</f>
        <v>106.69781931464175</v>
      </c>
      <c r="F394">
        <v>146.91999999999999</v>
      </c>
      <c r="G394" t="s">
        <v>4485</v>
      </c>
      <c r="H394" t="s">
        <v>12</v>
      </c>
      <c r="I394" t="s">
        <v>4484</v>
      </c>
      <c r="J394" t="s">
        <v>1610</v>
      </c>
      <c r="K394" t="s">
        <v>4486</v>
      </c>
    </row>
    <row r="395" spans="1:11">
      <c r="A395" t="s">
        <v>76</v>
      </c>
      <c r="B395" t="s">
        <v>2045</v>
      </c>
      <c r="C395" t="s">
        <v>2046</v>
      </c>
      <c r="D395" s="96">
        <f>Prices!$G$110</f>
        <v>106.69781931464175</v>
      </c>
      <c r="F395">
        <v>23.04</v>
      </c>
      <c r="G395" t="s">
        <v>2047</v>
      </c>
      <c r="H395" t="s">
        <v>12</v>
      </c>
      <c r="I395" t="s">
        <v>2046</v>
      </c>
      <c r="J395" t="s">
        <v>1610</v>
      </c>
      <c r="K395" t="s">
        <v>2048</v>
      </c>
    </row>
    <row r="396" spans="1:11">
      <c r="A396" t="s">
        <v>76</v>
      </c>
      <c r="B396" t="s">
        <v>2148</v>
      </c>
      <c r="C396" t="s">
        <v>2149</v>
      </c>
      <c r="D396" s="96">
        <f>Prices!$G$104</f>
        <v>114.16666666666667</v>
      </c>
      <c r="F396">
        <v>159.38</v>
      </c>
      <c r="G396" t="s">
        <v>2150</v>
      </c>
      <c r="H396" t="s">
        <v>12</v>
      </c>
      <c r="I396" t="s">
        <v>2149</v>
      </c>
      <c r="J396" t="s">
        <v>1610</v>
      </c>
      <c r="K396" t="s">
        <v>2088</v>
      </c>
    </row>
    <row r="397" spans="1:11">
      <c r="A397" t="s">
        <v>76</v>
      </c>
      <c r="B397" t="s">
        <v>4578</v>
      </c>
      <c r="C397" t="s">
        <v>4579</v>
      </c>
      <c r="D397" s="96">
        <f>Prices!$G$104</f>
        <v>114.16666666666667</v>
      </c>
      <c r="F397">
        <v>48.09</v>
      </c>
      <c r="G397" t="s">
        <v>4580</v>
      </c>
      <c r="H397" t="s">
        <v>12</v>
      </c>
      <c r="I397" t="s">
        <v>4581</v>
      </c>
      <c r="J397" t="s">
        <v>1610</v>
      </c>
      <c r="K397" t="s">
        <v>4582</v>
      </c>
    </row>
    <row r="398" spans="1:11">
      <c r="A398" t="s">
        <v>76</v>
      </c>
      <c r="B398" t="s">
        <v>3695</v>
      </c>
      <c r="C398" t="s">
        <v>3696</v>
      </c>
      <c r="D398" s="96">
        <f>Prices!$G$104</f>
        <v>114.16666666666667</v>
      </c>
      <c r="F398">
        <v>6.12</v>
      </c>
      <c r="G398" t="s">
        <v>3697</v>
      </c>
      <c r="H398" t="s">
        <v>12</v>
      </c>
      <c r="I398" t="s">
        <v>3696</v>
      </c>
      <c r="J398" t="s">
        <v>1610</v>
      </c>
    </row>
    <row r="399" spans="1:11">
      <c r="A399" t="s">
        <v>76</v>
      </c>
      <c r="B399" t="s">
        <v>4574</v>
      </c>
      <c r="C399" t="s">
        <v>4575</v>
      </c>
      <c r="D399" s="96">
        <f>Prices!$G$104</f>
        <v>114.16666666666667</v>
      </c>
      <c r="F399">
        <v>66.44</v>
      </c>
      <c r="G399" t="s">
        <v>4576</v>
      </c>
      <c r="H399" t="s">
        <v>12</v>
      </c>
      <c r="I399" t="s">
        <v>4575</v>
      </c>
      <c r="J399" t="s">
        <v>1610</v>
      </c>
      <c r="K399" t="s">
        <v>4577</v>
      </c>
    </row>
    <row r="400" spans="1:11">
      <c r="A400" t="s">
        <v>10</v>
      </c>
      <c r="B400" t="s">
        <v>3939</v>
      </c>
      <c r="C400" t="s">
        <v>3940</v>
      </c>
      <c r="D400" s="95">
        <f>Prices!$D$57</f>
        <v>144.25</v>
      </c>
      <c r="F400">
        <v>0.83</v>
      </c>
      <c r="G400" t="s">
        <v>3941</v>
      </c>
      <c r="H400" t="s">
        <v>12</v>
      </c>
      <c r="I400" t="s">
        <v>3940</v>
      </c>
      <c r="J400" t="s">
        <v>1610</v>
      </c>
    </row>
    <row r="401" spans="1:11">
      <c r="A401" t="s">
        <v>10</v>
      </c>
      <c r="B401" t="s">
        <v>2891</v>
      </c>
      <c r="C401" t="s">
        <v>2892</v>
      </c>
      <c r="D401" s="95">
        <f>Prices!$D$57</f>
        <v>144.25</v>
      </c>
      <c r="F401">
        <v>0</v>
      </c>
      <c r="G401" t="s">
        <v>2893</v>
      </c>
      <c r="I401" t="s">
        <v>2892</v>
      </c>
      <c r="J401" t="s">
        <v>1610</v>
      </c>
    </row>
    <row r="402" spans="1:11">
      <c r="A402" t="s">
        <v>3501</v>
      </c>
      <c r="B402" t="s">
        <v>2729</v>
      </c>
      <c r="C402" t="s">
        <v>2730</v>
      </c>
      <c r="D402" s="95">
        <f>Prices!$D$57</f>
        <v>144.25</v>
      </c>
      <c r="F402">
        <v>7.0000000000000007E-2</v>
      </c>
      <c r="G402" t="s">
        <v>3502</v>
      </c>
      <c r="H402" t="s">
        <v>12</v>
      </c>
      <c r="I402" t="s">
        <v>2730</v>
      </c>
      <c r="J402" t="s">
        <v>1610</v>
      </c>
    </row>
    <row r="403" spans="1:11">
      <c r="A403" t="s">
        <v>10</v>
      </c>
      <c r="B403" t="s">
        <v>3877</v>
      </c>
      <c r="C403" t="s">
        <v>3878</v>
      </c>
      <c r="D403" s="95">
        <f>Prices!$D$57</f>
        <v>144.25</v>
      </c>
      <c r="F403">
        <v>0.03</v>
      </c>
      <c r="G403" t="s">
        <v>3879</v>
      </c>
      <c r="H403" t="s">
        <v>12</v>
      </c>
      <c r="I403" t="s">
        <v>3878</v>
      </c>
      <c r="J403" t="s">
        <v>1610</v>
      </c>
    </row>
    <row r="404" spans="1:11">
      <c r="A404" t="s">
        <v>10</v>
      </c>
      <c r="B404" t="s">
        <v>19</v>
      </c>
      <c r="C404" t="s">
        <v>20</v>
      </c>
      <c r="D404" s="95">
        <f>Prices!$D$57</f>
        <v>144.25</v>
      </c>
      <c r="F404">
        <v>28.32</v>
      </c>
      <c r="G404" t="s">
        <v>21</v>
      </c>
      <c r="H404" t="s">
        <v>12</v>
      </c>
      <c r="I404" t="s">
        <v>20</v>
      </c>
      <c r="J404" t="s">
        <v>13</v>
      </c>
      <c r="K404" t="s">
        <v>22</v>
      </c>
    </row>
    <row r="405" spans="1:11">
      <c r="A405" t="s">
        <v>48</v>
      </c>
      <c r="B405" t="s">
        <v>147</v>
      </c>
      <c r="C405" t="s">
        <v>148</v>
      </c>
      <c r="D405" s="95">
        <f>Prices!$D$57</f>
        <v>144.25</v>
      </c>
      <c r="F405">
        <v>0</v>
      </c>
      <c r="G405" t="s">
        <v>149</v>
      </c>
      <c r="I405" t="s">
        <v>148</v>
      </c>
      <c r="J405" t="s">
        <v>13</v>
      </c>
      <c r="K405" t="s">
        <v>150</v>
      </c>
    </row>
    <row r="406" spans="1:11">
      <c r="A406" t="s">
        <v>48</v>
      </c>
      <c r="B406" t="s">
        <v>202</v>
      </c>
      <c r="C406" t="s">
        <v>203</v>
      </c>
      <c r="D406" s="95">
        <f>Prices!$D$57</f>
        <v>144.25</v>
      </c>
      <c r="F406">
        <v>0</v>
      </c>
      <c r="G406" t="s">
        <v>204</v>
      </c>
      <c r="I406" t="s">
        <v>203</v>
      </c>
      <c r="J406" t="s">
        <v>13</v>
      </c>
      <c r="K406" t="s">
        <v>205</v>
      </c>
    </row>
    <row r="407" spans="1:11">
      <c r="A407" t="s">
        <v>76</v>
      </c>
      <c r="B407" t="s">
        <v>2144</v>
      </c>
      <c r="C407" t="s">
        <v>2145</v>
      </c>
      <c r="D407" s="95">
        <f>Prices!$D$57</f>
        <v>144.25</v>
      </c>
      <c r="F407">
        <v>13.48</v>
      </c>
      <c r="G407" t="s">
        <v>2146</v>
      </c>
      <c r="H407" t="s">
        <v>12</v>
      </c>
      <c r="I407" t="s">
        <v>2145</v>
      </c>
      <c r="J407" t="s">
        <v>1610</v>
      </c>
      <c r="K407" t="s">
        <v>2147</v>
      </c>
    </row>
    <row r="408" spans="1:11">
      <c r="A408" t="s">
        <v>48</v>
      </c>
      <c r="B408" t="s">
        <v>49</v>
      </c>
      <c r="C408" t="s">
        <v>50</v>
      </c>
      <c r="D408" s="95">
        <f>Prices!$D$57</f>
        <v>144.25</v>
      </c>
      <c r="F408">
        <v>5.01</v>
      </c>
      <c r="G408" t="s">
        <v>51</v>
      </c>
      <c r="H408" t="s">
        <v>12</v>
      </c>
      <c r="I408" t="s">
        <v>50</v>
      </c>
      <c r="J408" t="s">
        <v>13</v>
      </c>
      <c r="K408" t="s">
        <v>52</v>
      </c>
    </row>
    <row r="409" spans="1:11">
      <c r="A409" t="s">
        <v>48</v>
      </c>
      <c r="B409" t="s">
        <v>57</v>
      </c>
      <c r="C409" t="s">
        <v>58</v>
      </c>
      <c r="D409" s="95">
        <f>Prices!$D$57</f>
        <v>144.25</v>
      </c>
      <c r="F409">
        <v>0.41</v>
      </c>
      <c r="G409" t="s">
        <v>59</v>
      </c>
      <c r="H409" t="s">
        <v>12</v>
      </c>
      <c r="I409" t="s">
        <v>58</v>
      </c>
      <c r="J409" t="s">
        <v>13</v>
      </c>
      <c r="K409" t="s">
        <v>60</v>
      </c>
    </row>
    <row r="410" spans="1:11">
      <c r="A410" t="s">
        <v>76</v>
      </c>
      <c r="B410" t="s">
        <v>2948</v>
      </c>
      <c r="C410" t="s">
        <v>2949</v>
      </c>
      <c r="D410" s="95">
        <f>Prices!$D$57</f>
        <v>144.25</v>
      </c>
      <c r="F410">
        <v>0</v>
      </c>
      <c r="G410" t="s">
        <v>2950</v>
      </c>
      <c r="I410" t="s">
        <v>2949</v>
      </c>
      <c r="J410" t="s">
        <v>1610</v>
      </c>
      <c r="K410" t="s">
        <v>2951</v>
      </c>
    </row>
    <row r="411" spans="1:11">
      <c r="A411" t="s">
        <v>76</v>
      </c>
      <c r="B411" t="s">
        <v>1867</v>
      </c>
      <c r="C411" t="s">
        <v>1868</v>
      </c>
      <c r="D411" s="95">
        <f>Prices!$D$57</f>
        <v>144.25</v>
      </c>
      <c r="F411">
        <v>129.30000000000001</v>
      </c>
      <c r="G411" t="s">
        <v>1869</v>
      </c>
      <c r="H411" t="s">
        <v>12</v>
      </c>
      <c r="I411" t="s">
        <v>1868</v>
      </c>
      <c r="J411" t="s">
        <v>1610</v>
      </c>
      <c r="K411" t="s">
        <v>1870</v>
      </c>
    </row>
    <row r="412" spans="1:11">
      <c r="A412" t="s">
        <v>48</v>
      </c>
      <c r="B412" t="s">
        <v>61</v>
      </c>
      <c r="C412" t="s">
        <v>62</v>
      </c>
      <c r="D412" s="95">
        <f>Prices!$D$57</f>
        <v>144.25</v>
      </c>
      <c r="F412">
        <v>0.75</v>
      </c>
      <c r="G412" t="s">
        <v>63</v>
      </c>
      <c r="H412" t="s">
        <v>12</v>
      </c>
      <c r="I412" t="s">
        <v>62</v>
      </c>
      <c r="J412" t="s">
        <v>13</v>
      </c>
      <c r="K412" t="s">
        <v>64</v>
      </c>
    </row>
    <row r="413" spans="1:11">
      <c r="A413" t="s">
        <v>76</v>
      </c>
      <c r="B413" t="s">
        <v>3076</v>
      </c>
      <c r="C413" t="s">
        <v>3077</v>
      </c>
      <c r="D413" s="95">
        <f>Prices!$D$57</f>
        <v>144.25</v>
      </c>
      <c r="F413">
        <v>0</v>
      </c>
      <c r="G413" t="s">
        <v>3078</v>
      </c>
      <c r="I413" t="s">
        <v>3077</v>
      </c>
      <c r="J413" t="s">
        <v>1610</v>
      </c>
      <c r="K413" t="s">
        <v>3079</v>
      </c>
    </row>
    <row r="414" spans="1:11" ht="30">
      <c r="A414" t="s">
        <v>76</v>
      </c>
      <c r="B414" s="1" t="s">
        <v>1835</v>
      </c>
      <c r="C414" t="s">
        <v>1836</v>
      </c>
      <c r="D414" s="95">
        <f>Prices!$D$57</f>
        <v>144.25</v>
      </c>
      <c r="F414">
        <v>128.85</v>
      </c>
      <c r="G414" t="s">
        <v>1837</v>
      </c>
      <c r="H414" t="s">
        <v>12</v>
      </c>
      <c r="I414" t="s">
        <v>1836</v>
      </c>
      <c r="J414" t="s">
        <v>1610</v>
      </c>
      <c r="K414" t="s">
        <v>1838</v>
      </c>
    </row>
    <row r="415" spans="1:11">
      <c r="A415" t="s">
        <v>48</v>
      </c>
      <c r="B415" t="s">
        <v>68</v>
      </c>
      <c r="C415" t="s">
        <v>69</v>
      </c>
      <c r="D415" s="95">
        <f>Prices!$D$57</f>
        <v>144.25</v>
      </c>
      <c r="F415">
        <v>0.97</v>
      </c>
      <c r="G415" t="s">
        <v>70</v>
      </c>
      <c r="H415" t="s">
        <v>12</v>
      </c>
      <c r="I415" t="s">
        <v>69</v>
      </c>
      <c r="J415" t="s">
        <v>13</v>
      </c>
      <c r="K415" t="s">
        <v>71</v>
      </c>
    </row>
    <row r="416" spans="1:11">
      <c r="A416" t="s">
        <v>10</v>
      </c>
      <c r="B416" t="s">
        <v>3268</v>
      </c>
      <c r="C416" t="s">
        <v>3269</v>
      </c>
      <c r="D416" s="95">
        <f>Prices!$D$57</f>
        <v>144.25</v>
      </c>
      <c r="F416">
        <v>2.25</v>
      </c>
      <c r="G416" t="s">
        <v>3604</v>
      </c>
      <c r="H416" t="s">
        <v>12</v>
      </c>
      <c r="I416" t="s">
        <v>3269</v>
      </c>
      <c r="J416" t="s">
        <v>1610</v>
      </c>
      <c r="K416" t="s">
        <v>3605</v>
      </c>
    </row>
    <row r="417" spans="1:11">
      <c r="A417" t="s">
        <v>76</v>
      </c>
      <c r="B417" t="s">
        <v>1839</v>
      </c>
      <c r="C417" t="s">
        <v>1840</v>
      </c>
      <c r="D417" s="95">
        <f>Prices!$D$57</f>
        <v>144.25</v>
      </c>
      <c r="F417">
        <v>23.9</v>
      </c>
      <c r="G417" t="s">
        <v>1841</v>
      </c>
      <c r="H417" t="s">
        <v>12</v>
      </c>
      <c r="I417" t="s">
        <v>1840</v>
      </c>
      <c r="J417" t="s">
        <v>1610</v>
      </c>
      <c r="K417" t="s">
        <v>1842</v>
      </c>
    </row>
    <row r="418" spans="1:11">
      <c r="A418" t="s">
        <v>76</v>
      </c>
      <c r="B418" t="s">
        <v>1843</v>
      </c>
      <c r="C418" t="s">
        <v>1844</v>
      </c>
      <c r="D418" s="95">
        <f>Prices!$D$57</f>
        <v>144.25</v>
      </c>
      <c r="F418">
        <v>18.22</v>
      </c>
      <c r="G418" t="s">
        <v>1845</v>
      </c>
      <c r="H418" t="s">
        <v>12</v>
      </c>
      <c r="I418" t="s">
        <v>1844</v>
      </c>
      <c r="J418" t="s">
        <v>1610</v>
      </c>
      <c r="K418" t="s">
        <v>1846</v>
      </c>
    </row>
    <row r="419" spans="1:11">
      <c r="A419" t="s">
        <v>48</v>
      </c>
      <c r="B419" t="s">
        <v>72</v>
      </c>
      <c r="C419" t="s">
        <v>73</v>
      </c>
      <c r="D419" s="95">
        <f>Prices!$D$57</f>
        <v>144.25</v>
      </c>
      <c r="F419">
        <v>2.8</v>
      </c>
      <c r="G419" t="s">
        <v>74</v>
      </c>
      <c r="H419" t="s">
        <v>12</v>
      </c>
      <c r="I419" t="s">
        <v>73</v>
      </c>
      <c r="J419" t="s">
        <v>13</v>
      </c>
      <c r="K419" t="s">
        <v>75</v>
      </c>
    </row>
    <row r="420" spans="1:11">
      <c r="A420" t="s">
        <v>76</v>
      </c>
      <c r="B420" t="s">
        <v>2209</v>
      </c>
      <c r="C420" t="s">
        <v>2210</v>
      </c>
      <c r="D420" s="95">
        <f>Prices!$D$57</f>
        <v>144.25</v>
      </c>
      <c r="F420">
        <v>127.71</v>
      </c>
      <c r="G420" t="s">
        <v>2211</v>
      </c>
      <c r="H420" t="s">
        <v>12</v>
      </c>
      <c r="I420" t="s">
        <v>2210</v>
      </c>
      <c r="J420" t="s">
        <v>1610</v>
      </c>
      <c r="K420" t="s">
        <v>2212</v>
      </c>
    </row>
    <row r="421" spans="1:11">
      <c r="A421" t="s">
        <v>76</v>
      </c>
      <c r="B421" t="s">
        <v>3177</v>
      </c>
      <c r="C421" t="s">
        <v>3178</v>
      </c>
      <c r="D421" s="95">
        <f>Prices!$D$57</f>
        <v>144.25</v>
      </c>
      <c r="F421">
        <v>0</v>
      </c>
      <c r="G421" t="s">
        <v>3179</v>
      </c>
      <c r="I421" t="s">
        <v>3178</v>
      </c>
      <c r="J421" t="s">
        <v>1610</v>
      </c>
      <c r="K421" t="s">
        <v>3180</v>
      </c>
    </row>
    <row r="422" spans="1:11">
      <c r="A422" t="s">
        <v>10</v>
      </c>
      <c r="B422" t="s">
        <v>1847</v>
      </c>
      <c r="C422" t="s">
        <v>1848</v>
      </c>
      <c r="D422" s="95">
        <f>Prices!$D$57</f>
        <v>144.25</v>
      </c>
      <c r="F422">
        <v>15.39</v>
      </c>
      <c r="G422" t="s">
        <v>3677</v>
      </c>
      <c r="H422" t="s">
        <v>12</v>
      </c>
      <c r="I422" t="s">
        <v>1848</v>
      </c>
      <c r="J422" t="s">
        <v>1610</v>
      </c>
      <c r="K422" t="s">
        <v>3678</v>
      </c>
    </row>
    <row r="423" spans="1:11" ht="45">
      <c r="A423" t="s">
        <v>23</v>
      </c>
      <c r="B423" s="1" t="s">
        <v>336</v>
      </c>
      <c r="C423" t="s">
        <v>337</v>
      </c>
      <c r="D423" s="95">
        <f>Prices!$D$57</f>
        <v>144.25</v>
      </c>
      <c r="F423">
        <v>63.11</v>
      </c>
      <c r="G423" t="s">
        <v>338</v>
      </c>
      <c r="H423" t="s">
        <v>12</v>
      </c>
      <c r="I423" t="s">
        <v>337</v>
      </c>
      <c r="J423" t="s">
        <v>13</v>
      </c>
    </row>
    <row r="424" spans="1:11">
      <c r="A424" t="s">
        <v>76</v>
      </c>
      <c r="B424" t="s">
        <v>2435</v>
      </c>
      <c r="C424" t="s">
        <v>2436</v>
      </c>
      <c r="D424" s="95">
        <f>Prices!$D$57</f>
        <v>144.25</v>
      </c>
      <c r="F424">
        <v>19.3</v>
      </c>
      <c r="G424" t="s">
        <v>2437</v>
      </c>
      <c r="H424" t="s">
        <v>12</v>
      </c>
      <c r="I424" t="s">
        <v>2436</v>
      </c>
      <c r="J424" t="s">
        <v>1610</v>
      </c>
      <c r="K424" t="s">
        <v>1721</v>
      </c>
    </row>
    <row r="425" spans="1:11">
      <c r="A425" t="s">
        <v>76</v>
      </c>
      <c r="B425" t="s">
        <v>2913</v>
      </c>
      <c r="C425" t="s">
        <v>2914</v>
      </c>
      <c r="D425" s="95">
        <f>Prices!$D$57</f>
        <v>144.25</v>
      </c>
      <c r="F425">
        <v>0</v>
      </c>
      <c r="G425" t="s">
        <v>2915</v>
      </c>
      <c r="I425" t="s">
        <v>2914</v>
      </c>
      <c r="J425" t="s">
        <v>1610</v>
      </c>
      <c r="K425" t="s">
        <v>2916</v>
      </c>
    </row>
    <row r="426" spans="1:11">
      <c r="A426" t="s">
        <v>76</v>
      </c>
      <c r="B426" t="s">
        <v>3094</v>
      </c>
      <c r="C426" t="s">
        <v>3095</v>
      </c>
      <c r="D426" s="95">
        <f>Prices!$D$57</f>
        <v>144.25</v>
      </c>
      <c r="F426">
        <v>0</v>
      </c>
      <c r="G426" t="s">
        <v>3096</v>
      </c>
      <c r="I426" t="s">
        <v>3095</v>
      </c>
      <c r="J426" t="s">
        <v>1610</v>
      </c>
      <c r="K426" t="s">
        <v>3097</v>
      </c>
    </row>
    <row r="427" spans="1:11">
      <c r="A427" t="s">
        <v>76</v>
      </c>
      <c r="B427" t="s">
        <v>2205</v>
      </c>
      <c r="C427" t="s">
        <v>2206</v>
      </c>
      <c r="D427" s="95">
        <f>Prices!$D$57</f>
        <v>144.25</v>
      </c>
      <c r="F427">
        <v>103.95</v>
      </c>
      <c r="G427" t="s">
        <v>2207</v>
      </c>
      <c r="H427" t="s">
        <v>12</v>
      </c>
      <c r="I427" t="s">
        <v>2206</v>
      </c>
      <c r="J427" t="s">
        <v>1610</v>
      </c>
      <c r="K427" t="s">
        <v>2208</v>
      </c>
    </row>
    <row r="428" spans="1:11">
      <c r="A428" t="s">
        <v>76</v>
      </c>
      <c r="B428" t="s">
        <v>1849</v>
      </c>
      <c r="C428" t="s">
        <v>1850</v>
      </c>
      <c r="D428" s="95">
        <f>Prices!$D$57</f>
        <v>144.25</v>
      </c>
      <c r="F428">
        <v>4.78</v>
      </c>
      <c r="G428" t="s">
        <v>1851</v>
      </c>
      <c r="H428" t="s">
        <v>12</v>
      </c>
      <c r="I428" t="s">
        <v>1850</v>
      </c>
      <c r="J428" t="s">
        <v>1610</v>
      </c>
      <c r="K428" t="s">
        <v>1852</v>
      </c>
    </row>
    <row r="429" spans="1:11">
      <c r="A429" t="s">
        <v>10</v>
      </c>
      <c r="B429" t="s">
        <v>1853</v>
      </c>
      <c r="C429" t="s">
        <v>1854</v>
      </c>
      <c r="D429" s="95">
        <f>Prices!$D$57</f>
        <v>144.25</v>
      </c>
      <c r="F429">
        <v>0.19</v>
      </c>
      <c r="G429" t="s">
        <v>3646</v>
      </c>
      <c r="H429" t="s">
        <v>12</v>
      </c>
      <c r="I429" t="s">
        <v>1854</v>
      </c>
      <c r="J429" t="s">
        <v>1610</v>
      </c>
      <c r="K429" t="s">
        <v>3647</v>
      </c>
    </row>
    <row r="430" spans="1:11">
      <c r="A430" t="s">
        <v>10</v>
      </c>
      <c r="B430" t="s">
        <v>77</v>
      </c>
      <c r="C430" t="s">
        <v>78</v>
      </c>
      <c r="D430" s="95">
        <f>Prices!$D$57</f>
        <v>144.25</v>
      </c>
      <c r="F430">
        <v>25.25</v>
      </c>
      <c r="G430" t="s">
        <v>427</v>
      </c>
      <c r="H430" t="s">
        <v>12</v>
      </c>
      <c r="I430" t="s">
        <v>78</v>
      </c>
      <c r="J430" t="s">
        <v>13</v>
      </c>
      <c r="K430" t="s">
        <v>428</v>
      </c>
    </row>
    <row r="431" spans="1:11">
      <c r="A431" t="s">
        <v>76</v>
      </c>
      <c r="B431" t="s">
        <v>2865</v>
      </c>
      <c r="C431" t="s">
        <v>2866</v>
      </c>
      <c r="D431" s="95">
        <f>Prices!$D$57</f>
        <v>144.25</v>
      </c>
      <c r="F431">
        <v>0</v>
      </c>
      <c r="G431" t="s">
        <v>2867</v>
      </c>
      <c r="I431" t="s">
        <v>2866</v>
      </c>
      <c r="J431" t="s">
        <v>1610</v>
      </c>
      <c r="K431" t="s">
        <v>2868</v>
      </c>
    </row>
    <row r="432" spans="1:11">
      <c r="A432" t="s">
        <v>76</v>
      </c>
      <c r="B432" t="s">
        <v>3118</v>
      </c>
      <c r="C432" t="s">
        <v>3119</v>
      </c>
      <c r="D432" s="95">
        <f>Prices!$D$57</f>
        <v>144.25</v>
      </c>
      <c r="F432">
        <v>0</v>
      </c>
      <c r="G432" t="s">
        <v>3120</v>
      </c>
      <c r="I432" t="s">
        <v>3119</v>
      </c>
      <c r="J432" t="s">
        <v>1610</v>
      </c>
      <c r="K432" t="s">
        <v>3121</v>
      </c>
    </row>
    <row r="433" spans="1:11">
      <c r="A433" t="s">
        <v>76</v>
      </c>
      <c r="B433" t="s">
        <v>2877</v>
      </c>
      <c r="C433" t="s">
        <v>2878</v>
      </c>
      <c r="D433" s="95">
        <f>Prices!$D$57</f>
        <v>144.25</v>
      </c>
      <c r="F433">
        <v>0</v>
      </c>
      <c r="G433" t="s">
        <v>2879</v>
      </c>
      <c r="I433" t="s">
        <v>2878</v>
      </c>
      <c r="J433" t="s">
        <v>1610</v>
      </c>
      <c r="K433" t="s">
        <v>2880</v>
      </c>
    </row>
    <row r="434" spans="1:11">
      <c r="A434" t="s">
        <v>76</v>
      </c>
      <c r="B434" t="s">
        <v>2941</v>
      </c>
      <c r="C434" t="s">
        <v>2942</v>
      </c>
      <c r="D434" s="95">
        <f>Prices!$D$57</f>
        <v>144.25</v>
      </c>
      <c r="F434">
        <v>0</v>
      </c>
      <c r="G434" t="s">
        <v>2943</v>
      </c>
      <c r="I434" t="s">
        <v>2942</v>
      </c>
      <c r="J434" t="s">
        <v>1610</v>
      </c>
      <c r="K434" t="s">
        <v>2944</v>
      </c>
    </row>
    <row r="435" spans="1:11">
      <c r="A435" t="s">
        <v>48</v>
      </c>
      <c r="B435" t="s">
        <v>288</v>
      </c>
      <c r="C435" t="s">
        <v>289</v>
      </c>
      <c r="D435" s="95">
        <f>Prices!$D$57</f>
        <v>144.25</v>
      </c>
      <c r="F435">
        <v>0</v>
      </c>
      <c r="G435" t="s">
        <v>290</v>
      </c>
      <c r="I435" t="s">
        <v>289</v>
      </c>
      <c r="J435" t="s">
        <v>13</v>
      </c>
      <c r="K435" t="s">
        <v>291</v>
      </c>
    </row>
    <row r="436" spans="1:11">
      <c r="A436" t="s">
        <v>76</v>
      </c>
      <c r="B436" t="s">
        <v>2901</v>
      </c>
      <c r="C436" t="s">
        <v>2902</v>
      </c>
      <c r="D436" s="95">
        <f>Prices!$D$57</f>
        <v>144.25</v>
      </c>
      <c r="F436">
        <v>0</v>
      </c>
      <c r="G436" t="s">
        <v>2903</v>
      </c>
      <c r="I436" t="s">
        <v>2902</v>
      </c>
      <c r="J436" t="s">
        <v>1610</v>
      </c>
      <c r="K436" t="s">
        <v>2904</v>
      </c>
    </row>
    <row r="437" spans="1:11">
      <c r="A437" t="s">
        <v>76</v>
      </c>
      <c r="B437" t="s">
        <v>1855</v>
      </c>
      <c r="C437" t="s">
        <v>1856</v>
      </c>
      <c r="D437" s="95">
        <f>Prices!$D$57</f>
        <v>144.25</v>
      </c>
      <c r="F437">
        <v>169.92</v>
      </c>
      <c r="G437" t="s">
        <v>1857</v>
      </c>
      <c r="H437" t="s">
        <v>12</v>
      </c>
      <c r="I437" t="s">
        <v>1856</v>
      </c>
      <c r="J437" t="s">
        <v>1610</v>
      </c>
      <c r="K437" t="s">
        <v>1858</v>
      </c>
    </row>
    <row r="438" spans="1:11">
      <c r="A438" t="s">
        <v>48</v>
      </c>
      <c r="B438" t="s">
        <v>79</v>
      </c>
      <c r="C438" t="s">
        <v>80</v>
      </c>
      <c r="D438" s="95">
        <f>Prices!$D$57</f>
        <v>144.25</v>
      </c>
      <c r="F438">
        <v>1.87</v>
      </c>
      <c r="G438" t="s">
        <v>81</v>
      </c>
      <c r="H438" t="s">
        <v>12</v>
      </c>
      <c r="I438" t="s">
        <v>80</v>
      </c>
      <c r="J438" t="s">
        <v>13</v>
      </c>
      <c r="K438" t="s">
        <v>82</v>
      </c>
    </row>
    <row r="439" spans="1:11">
      <c r="A439" t="s">
        <v>76</v>
      </c>
      <c r="B439" t="s">
        <v>3341</v>
      </c>
      <c r="C439" t="s">
        <v>3342</v>
      </c>
      <c r="D439" s="95">
        <f>Prices!$D$57</f>
        <v>144.25</v>
      </c>
      <c r="F439">
        <v>0</v>
      </c>
      <c r="G439" t="s">
        <v>3343</v>
      </c>
      <c r="I439" t="s">
        <v>3342</v>
      </c>
      <c r="J439" t="s">
        <v>1610</v>
      </c>
      <c r="K439" t="s">
        <v>3344</v>
      </c>
    </row>
    <row r="440" spans="1:11">
      <c r="A440" t="s">
        <v>76</v>
      </c>
      <c r="B440" t="s">
        <v>2933</v>
      </c>
      <c r="C440" t="s">
        <v>2934</v>
      </c>
      <c r="D440" s="95">
        <f>Prices!$D$57</f>
        <v>144.25</v>
      </c>
      <c r="F440">
        <v>0</v>
      </c>
      <c r="G440" t="s">
        <v>2935</v>
      </c>
      <c r="I440" t="s">
        <v>2934</v>
      </c>
      <c r="J440" t="s">
        <v>1610</v>
      </c>
      <c r="K440" t="s">
        <v>2936</v>
      </c>
    </row>
    <row r="441" spans="1:11">
      <c r="A441" t="s">
        <v>48</v>
      </c>
      <c r="B441" t="s">
        <v>98</v>
      </c>
      <c r="C441" t="s">
        <v>99</v>
      </c>
      <c r="D441" s="95">
        <f>Prices!$D$57</f>
        <v>144.25</v>
      </c>
      <c r="F441">
        <v>0</v>
      </c>
      <c r="G441" t="s">
        <v>100</v>
      </c>
      <c r="I441" t="s">
        <v>99</v>
      </c>
      <c r="J441" t="s">
        <v>13</v>
      </c>
      <c r="K441" t="s">
        <v>101</v>
      </c>
    </row>
    <row r="442" spans="1:11">
      <c r="A442" t="s">
        <v>76</v>
      </c>
      <c r="B442" t="s">
        <v>2921</v>
      </c>
      <c r="C442" t="s">
        <v>2922</v>
      </c>
      <c r="D442" s="95">
        <f>Prices!$D$57</f>
        <v>144.25</v>
      </c>
      <c r="F442">
        <v>0</v>
      </c>
      <c r="G442" t="s">
        <v>2923</v>
      </c>
      <c r="I442" t="s">
        <v>2922</v>
      </c>
      <c r="J442" t="s">
        <v>1610</v>
      </c>
      <c r="K442" t="s">
        <v>2924</v>
      </c>
    </row>
    <row r="443" spans="1:11">
      <c r="A443" t="s">
        <v>76</v>
      </c>
      <c r="B443" t="s">
        <v>1859</v>
      </c>
      <c r="C443" t="s">
        <v>1860</v>
      </c>
      <c r="D443" s="95">
        <f>Prices!$D$57</f>
        <v>144.25</v>
      </c>
      <c r="F443">
        <v>7.69</v>
      </c>
      <c r="G443" t="s">
        <v>1861</v>
      </c>
      <c r="H443" t="s">
        <v>12</v>
      </c>
      <c r="I443" t="s">
        <v>1860</v>
      </c>
      <c r="J443" t="s">
        <v>1610</v>
      </c>
      <c r="K443" t="s">
        <v>1862</v>
      </c>
    </row>
    <row r="444" spans="1:11">
      <c r="A444" t="s">
        <v>48</v>
      </c>
      <c r="B444" t="s">
        <v>376</v>
      </c>
      <c r="C444" t="s">
        <v>377</v>
      </c>
      <c r="D444" s="95">
        <f>Prices!$D$57</f>
        <v>144.25</v>
      </c>
      <c r="F444">
        <v>0</v>
      </c>
      <c r="G444" t="s">
        <v>378</v>
      </c>
      <c r="I444" t="s">
        <v>377</v>
      </c>
      <c r="J444" t="s">
        <v>13</v>
      </c>
      <c r="K444" t="s">
        <v>379</v>
      </c>
    </row>
    <row r="445" spans="1:11">
      <c r="A445" t="s">
        <v>76</v>
      </c>
      <c r="B445" t="s">
        <v>2970</v>
      </c>
      <c r="C445" t="s">
        <v>2971</v>
      </c>
      <c r="D445" s="95">
        <f>Prices!$D$57</f>
        <v>144.25</v>
      </c>
      <c r="F445">
        <v>0</v>
      </c>
      <c r="G445" t="s">
        <v>2972</v>
      </c>
      <c r="I445" t="s">
        <v>2971</v>
      </c>
      <c r="J445" t="s">
        <v>1610</v>
      </c>
      <c r="K445" t="s">
        <v>2973</v>
      </c>
    </row>
    <row r="446" spans="1:11">
      <c r="A446" t="s">
        <v>76</v>
      </c>
      <c r="B446" t="s">
        <v>2966</v>
      </c>
      <c r="C446" t="s">
        <v>2967</v>
      </c>
      <c r="D446" s="95">
        <f>Prices!$D$57</f>
        <v>144.25</v>
      </c>
      <c r="F446">
        <v>0</v>
      </c>
      <c r="G446" t="s">
        <v>2968</v>
      </c>
      <c r="I446" t="s">
        <v>2967</v>
      </c>
      <c r="J446" t="s">
        <v>1610</v>
      </c>
      <c r="K446" t="s">
        <v>2969</v>
      </c>
    </row>
    <row r="447" spans="1:11">
      <c r="A447" t="s">
        <v>48</v>
      </c>
      <c r="B447" t="s">
        <v>700</v>
      </c>
      <c r="C447" t="s">
        <v>701</v>
      </c>
      <c r="D447" s="95">
        <f>Prices!$D$57</f>
        <v>144.25</v>
      </c>
      <c r="F447">
        <v>0</v>
      </c>
      <c r="G447" t="s">
        <v>702</v>
      </c>
      <c r="I447" t="s">
        <v>701</v>
      </c>
      <c r="J447" t="s">
        <v>13</v>
      </c>
      <c r="K447" t="s">
        <v>703</v>
      </c>
    </row>
    <row r="448" spans="1:11">
      <c r="A448" t="s">
        <v>10</v>
      </c>
      <c r="B448" t="s">
        <v>2846</v>
      </c>
      <c r="C448" t="s">
        <v>2847</v>
      </c>
      <c r="D448" s="95">
        <f>Prices!$D$57</f>
        <v>144.25</v>
      </c>
      <c r="F448">
        <v>17.739999999999998</v>
      </c>
      <c r="G448" t="s">
        <v>2848</v>
      </c>
      <c r="H448" t="s">
        <v>12</v>
      </c>
      <c r="I448" t="s">
        <v>2847</v>
      </c>
      <c r="J448" t="s">
        <v>1610</v>
      </c>
      <c r="K448" t="s">
        <v>2849</v>
      </c>
    </row>
    <row r="449" spans="1:11">
      <c r="A449" t="s">
        <v>10</v>
      </c>
      <c r="B449" t="s">
        <v>3673</v>
      </c>
      <c r="C449" t="s">
        <v>3674</v>
      </c>
      <c r="D449" s="95">
        <f>Prices!$D$57</f>
        <v>144.25</v>
      </c>
      <c r="F449">
        <v>10.32</v>
      </c>
      <c r="G449" t="s">
        <v>3675</v>
      </c>
      <c r="H449" t="s">
        <v>12</v>
      </c>
      <c r="I449" t="s">
        <v>3674</v>
      </c>
      <c r="J449" t="s">
        <v>1610</v>
      </c>
      <c r="K449" t="s">
        <v>3676</v>
      </c>
    </row>
    <row r="450" spans="1:11">
      <c r="A450" t="s">
        <v>76</v>
      </c>
      <c r="B450" t="s">
        <v>2869</v>
      </c>
      <c r="C450" t="s">
        <v>2870</v>
      </c>
      <c r="D450" s="95">
        <f>Prices!$D$57</f>
        <v>144.25</v>
      </c>
      <c r="F450">
        <v>0</v>
      </c>
      <c r="G450" t="s">
        <v>2871</v>
      </c>
      <c r="I450" t="s">
        <v>2870</v>
      </c>
      <c r="J450" t="s">
        <v>1610</v>
      </c>
      <c r="K450" t="s">
        <v>2872</v>
      </c>
    </row>
    <row r="451" spans="1:11">
      <c r="A451" t="s">
        <v>10</v>
      </c>
      <c r="B451" t="s">
        <v>1863</v>
      </c>
      <c r="C451" t="s">
        <v>1864</v>
      </c>
      <c r="D451" s="95">
        <f>Prices!$D$57</f>
        <v>144.25</v>
      </c>
      <c r="F451">
        <v>19.16</v>
      </c>
      <c r="G451" t="s">
        <v>1865</v>
      </c>
      <c r="H451" t="s">
        <v>12</v>
      </c>
      <c r="I451" t="s">
        <v>1864</v>
      </c>
      <c r="J451" t="s">
        <v>1610</v>
      </c>
      <c r="K451" t="s">
        <v>1866</v>
      </c>
    </row>
    <row r="452" spans="1:11">
      <c r="A452" t="s">
        <v>76</v>
      </c>
      <c r="B452" t="s">
        <v>2894</v>
      </c>
      <c r="C452" t="s">
        <v>2895</v>
      </c>
      <c r="D452" s="95">
        <f>Prices!$D$57</f>
        <v>144.25</v>
      </c>
      <c r="F452">
        <v>0</v>
      </c>
      <c r="G452" t="s">
        <v>2896</v>
      </c>
      <c r="I452" t="s">
        <v>2895</v>
      </c>
      <c r="J452" t="s">
        <v>1610</v>
      </c>
      <c r="K452" t="s">
        <v>2897</v>
      </c>
    </row>
    <row r="453" spans="1:11">
      <c r="A453" t="s">
        <v>76</v>
      </c>
      <c r="B453" t="s">
        <v>3221</v>
      </c>
      <c r="C453" t="s">
        <v>3222</v>
      </c>
      <c r="D453" s="95">
        <f>Prices!$D$57</f>
        <v>144.25</v>
      </c>
      <c r="F453">
        <v>0</v>
      </c>
      <c r="G453" t="s">
        <v>3223</v>
      </c>
      <c r="I453" t="s">
        <v>3222</v>
      </c>
      <c r="J453" t="s">
        <v>1610</v>
      </c>
      <c r="K453" t="s">
        <v>3224</v>
      </c>
    </row>
    <row r="454" spans="1:11">
      <c r="A454" t="s">
        <v>76</v>
      </c>
      <c r="B454" t="s">
        <v>3260</v>
      </c>
      <c r="C454" t="s">
        <v>3261</v>
      </c>
      <c r="D454" s="95">
        <f>Prices!$D$57</f>
        <v>144.25</v>
      </c>
      <c r="F454">
        <v>0</v>
      </c>
      <c r="G454" t="s">
        <v>3262</v>
      </c>
      <c r="I454" t="s">
        <v>3261</v>
      </c>
      <c r="J454" t="s">
        <v>1610</v>
      </c>
      <c r="K454" t="s">
        <v>3263</v>
      </c>
    </row>
    <row r="455" spans="1:11">
      <c r="A455" t="s">
        <v>10</v>
      </c>
      <c r="B455" t="s">
        <v>3088</v>
      </c>
      <c r="C455" t="s">
        <v>3089</v>
      </c>
      <c r="D455" s="95">
        <f>Prices!$D$57</f>
        <v>144.25</v>
      </c>
      <c r="F455">
        <v>0</v>
      </c>
      <c r="G455" t="s">
        <v>3197</v>
      </c>
      <c r="I455" t="s">
        <v>3089</v>
      </c>
      <c r="J455" t="s">
        <v>1610</v>
      </c>
      <c r="K455" t="s">
        <v>3198</v>
      </c>
    </row>
    <row r="456" spans="1:11">
      <c r="A456" t="s">
        <v>48</v>
      </c>
      <c r="B456" t="s">
        <v>372</v>
      </c>
      <c r="C456" t="s">
        <v>373</v>
      </c>
      <c r="D456" s="95">
        <f>Prices!$D$57</f>
        <v>144.25</v>
      </c>
      <c r="F456">
        <v>0</v>
      </c>
      <c r="G456" t="s">
        <v>374</v>
      </c>
      <c r="I456" t="s">
        <v>373</v>
      </c>
      <c r="J456" t="s">
        <v>13</v>
      </c>
      <c r="K456" t="s">
        <v>375</v>
      </c>
    </row>
    <row r="457" spans="1:11">
      <c r="A457" t="s">
        <v>76</v>
      </c>
      <c r="B457" t="s">
        <v>2881</v>
      </c>
      <c r="C457" t="s">
        <v>2882</v>
      </c>
      <c r="D457" s="95">
        <f>Prices!$D$57</f>
        <v>144.25</v>
      </c>
      <c r="F457">
        <v>0</v>
      </c>
      <c r="G457" t="s">
        <v>2883</v>
      </c>
      <c r="I457" t="s">
        <v>2882</v>
      </c>
      <c r="J457" t="s">
        <v>1610</v>
      </c>
      <c r="K457" t="s">
        <v>2884</v>
      </c>
    </row>
    <row r="458" spans="1:11">
      <c r="A458" t="s">
        <v>76</v>
      </c>
      <c r="B458" t="s">
        <v>3122</v>
      </c>
      <c r="C458" t="s">
        <v>3123</v>
      </c>
      <c r="D458" s="95">
        <f>Prices!$D$57</f>
        <v>144.25</v>
      </c>
      <c r="F458">
        <v>0</v>
      </c>
      <c r="G458" t="s">
        <v>3124</v>
      </c>
      <c r="I458" t="s">
        <v>3123</v>
      </c>
      <c r="J458" t="s">
        <v>1610</v>
      </c>
      <c r="K458" t="s">
        <v>3125</v>
      </c>
    </row>
    <row r="459" spans="1:11">
      <c r="A459" t="s">
        <v>10</v>
      </c>
      <c r="B459" t="s">
        <v>2618</v>
      </c>
      <c r="C459" t="s">
        <v>2619</v>
      </c>
      <c r="D459" s="95">
        <f>Prices!$D$57</f>
        <v>144.25</v>
      </c>
      <c r="F459">
        <v>4.46</v>
      </c>
      <c r="G459" t="s">
        <v>2620</v>
      </c>
      <c r="H459" t="s">
        <v>12</v>
      </c>
      <c r="I459" t="s">
        <v>2619</v>
      </c>
      <c r="J459" t="s">
        <v>1610</v>
      </c>
      <c r="K459" t="s">
        <v>2621</v>
      </c>
    </row>
    <row r="460" spans="1:11">
      <c r="A460" t="s">
        <v>76</v>
      </c>
      <c r="B460" t="s">
        <v>3029</v>
      </c>
      <c r="C460" t="s">
        <v>3030</v>
      </c>
      <c r="D460" s="95">
        <f>Prices!$D$57</f>
        <v>144.25</v>
      </c>
      <c r="F460">
        <v>0</v>
      </c>
      <c r="G460" t="s">
        <v>3031</v>
      </c>
      <c r="I460" t="s">
        <v>3030</v>
      </c>
      <c r="J460" t="s">
        <v>1610</v>
      </c>
      <c r="K460" t="s">
        <v>3032</v>
      </c>
    </row>
    <row r="461" spans="1:11">
      <c r="A461" t="s">
        <v>76</v>
      </c>
      <c r="B461" t="s">
        <v>3403</v>
      </c>
      <c r="C461" t="s">
        <v>3404</v>
      </c>
      <c r="D461" s="95">
        <f>Prices!$D$57</f>
        <v>144.25</v>
      </c>
      <c r="F461">
        <v>0</v>
      </c>
      <c r="G461" t="s">
        <v>3405</v>
      </c>
      <c r="I461" t="s">
        <v>3404</v>
      </c>
      <c r="J461" t="s">
        <v>1610</v>
      </c>
      <c r="K461" t="s">
        <v>3406</v>
      </c>
    </row>
    <row r="462" spans="1:11">
      <c r="A462" t="s">
        <v>48</v>
      </c>
      <c r="B462" t="s">
        <v>471</v>
      </c>
      <c r="C462" t="s">
        <v>472</v>
      </c>
      <c r="D462" s="95">
        <f>Prices!$D$57</f>
        <v>144.25</v>
      </c>
      <c r="F462">
        <v>0</v>
      </c>
      <c r="G462" t="s">
        <v>473</v>
      </c>
      <c r="I462" t="s">
        <v>472</v>
      </c>
      <c r="J462" t="s">
        <v>13</v>
      </c>
      <c r="K462" t="s">
        <v>474</v>
      </c>
    </row>
    <row r="463" spans="1:11">
      <c r="A463" t="s">
        <v>10</v>
      </c>
      <c r="B463" t="s">
        <v>2667</v>
      </c>
      <c r="C463" t="s">
        <v>2668</v>
      </c>
      <c r="D463" s="95">
        <f>Prices!$D$57</f>
        <v>144.25</v>
      </c>
      <c r="F463">
        <v>23.13</v>
      </c>
      <c r="G463" t="s">
        <v>2669</v>
      </c>
      <c r="H463" t="s">
        <v>12</v>
      </c>
      <c r="I463" t="s">
        <v>2668</v>
      </c>
      <c r="J463" t="s">
        <v>1610</v>
      </c>
      <c r="K463" t="s">
        <v>2670</v>
      </c>
    </row>
    <row r="464" spans="1:11">
      <c r="A464" t="s">
        <v>48</v>
      </c>
      <c r="B464" t="s">
        <v>861</v>
      </c>
      <c r="C464" t="s">
        <v>862</v>
      </c>
      <c r="D464" s="96">
        <f>Prices!$J$8</f>
        <v>135.75539568345323</v>
      </c>
      <c r="F464">
        <v>2.75</v>
      </c>
      <c r="G464" t="s">
        <v>863</v>
      </c>
      <c r="H464" t="s">
        <v>12</v>
      </c>
      <c r="I464" t="s">
        <v>862</v>
      </c>
      <c r="J464" t="s">
        <v>13</v>
      </c>
      <c r="K464" t="s">
        <v>864</v>
      </c>
    </row>
    <row r="465" spans="1:11">
      <c r="A465" t="s">
        <v>254</v>
      </c>
      <c r="B465" t="s">
        <v>3874</v>
      </c>
      <c r="C465" t="s">
        <v>3875</v>
      </c>
      <c r="D465" s="96">
        <f>Prices!$J$8</f>
        <v>135.75539568345323</v>
      </c>
      <c r="F465">
        <v>4.8099999999999996</v>
      </c>
      <c r="G465" t="s">
        <v>3876</v>
      </c>
      <c r="H465" t="s">
        <v>12</v>
      </c>
      <c r="I465" t="s">
        <v>3875</v>
      </c>
      <c r="J465" t="s">
        <v>1610</v>
      </c>
    </row>
    <row r="466" spans="1:11">
      <c r="A466" t="s">
        <v>10</v>
      </c>
      <c r="B466" t="s">
        <v>2438</v>
      </c>
      <c r="C466" t="s">
        <v>2439</v>
      </c>
      <c r="D466" s="96">
        <f>Prices!$J$8</f>
        <v>135.75539568345323</v>
      </c>
      <c r="F466">
        <v>0.06</v>
      </c>
      <c r="G466" t="s">
        <v>3812</v>
      </c>
      <c r="H466" t="s">
        <v>12</v>
      </c>
      <c r="I466" t="s">
        <v>2439</v>
      </c>
      <c r="J466" t="s">
        <v>1610</v>
      </c>
      <c r="K466" t="s">
        <v>3813</v>
      </c>
    </row>
    <row r="467" spans="1:11">
      <c r="A467" t="s">
        <v>111</v>
      </c>
      <c r="B467" t="s">
        <v>384</v>
      </c>
      <c r="C467" t="s">
        <v>385</v>
      </c>
      <c r="D467" s="96">
        <f>Prices!$J$8</f>
        <v>135.75539568345323</v>
      </c>
      <c r="F467">
        <v>0</v>
      </c>
      <c r="G467" t="s">
        <v>386</v>
      </c>
      <c r="I467" t="s">
        <v>385</v>
      </c>
      <c r="J467" t="s">
        <v>13</v>
      </c>
      <c r="K467" t="s">
        <v>387</v>
      </c>
    </row>
    <row r="468" spans="1:11">
      <c r="A468" t="s">
        <v>10</v>
      </c>
      <c r="B468" t="s">
        <v>2101</v>
      </c>
      <c r="C468" t="s">
        <v>2102</v>
      </c>
      <c r="D468" s="96">
        <f>Prices!$J$8</f>
        <v>135.75539568345323</v>
      </c>
      <c r="F468">
        <v>123.68</v>
      </c>
      <c r="G468" t="s">
        <v>3929</v>
      </c>
      <c r="H468" t="s">
        <v>12</v>
      </c>
      <c r="I468" t="s">
        <v>2102</v>
      </c>
      <c r="J468" t="s">
        <v>1610</v>
      </c>
      <c r="K468" t="s">
        <v>3930</v>
      </c>
    </row>
    <row r="469" spans="1:11">
      <c r="A469" t="s">
        <v>10</v>
      </c>
      <c r="B469" t="s">
        <v>3709</v>
      </c>
      <c r="C469" t="s">
        <v>3710</v>
      </c>
      <c r="D469" s="96">
        <f>Prices!$J$8</f>
        <v>135.75539568345323</v>
      </c>
      <c r="F469">
        <v>38.07</v>
      </c>
      <c r="G469" t="s">
        <v>3711</v>
      </c>
      <c r="H469" t="s">
        <v>12</v>
      </c>
      <c r="I469" t="s">
        <v>3710</v>
      </c>
      <c r="J469" t="s">
        <v>1610</v>
      </c>
      <c r="K469" t="s">
        <v>3712</v>
      </c>
    </row>
    <row r="470" spans="1:11">
      <c r="A470" t="s">
        <v>111</v>
      </c>
      <c r="B470" t="s">
        <v>869</v>
      </c>
      <c r="C470" t="s">
        <v>870</v>
      </c>
      <c r="D470" s="96">
        <f>Prices!$J$8</f>
        <v>135.75539568345323</v>
      </c>
      <c r="F470">
        <v>17.600000000000001</v>
      </c>
      <c r="G470" t="s">
        <v>871</v>
      </c>
      <c r="H470" t="s">
        <v>12</v>
      </c>
      <c r="I470" t="s">
        <v>870</v>
      </c>
      <c r="J470" t="s">
        <v>13</v>
      </c>
      <c r="K470" t="s">
        <v>872</v>
      </c>
    </row>
    <row r="471" spans="1:11">
      <c r="A471" t="s">
        <v>254</v>
      </c>
      <c r="B471" t="s">
        <v>3420</v>
      </c>
      <c r="C471" t="s">
        <v>3421</v>
      </c>
      <c r="D471" s="96">
        <f>Prices!$J$8</f>
        <v>135.75539568345323</v>
      </c>
      <c r="F471">
        <v>11.07</v>
      </c>
      <c r="G471" t="s">
        <v>3954</v>
      </c>
      <c r="H471" t="s">
        <v>12</v>
      </c>
      <c r="I471" t="s">
        <v>3421</v>
      </c>
      <c r="J471" t="s">
        <v>1610</v>
      </c>
      <c r="K471" t="s">
        <v>3422</v>
      </c>
    </row>
    <row r="472" spans="1:11">
      <c r="A472" t="s">
        <v>111</v>
      </c>
      <c r="B472" t="s">
        <v>627</v>
      </c>
      <c r="C472" t="s">
        <v>628</v>
      </c>
      <c r="D472" s="96">
        <f>Prices!$J$8</f>
        <v>135.75539568345323</v>
      </c>
      <c r="F472">
        <v>0</v>
      </c>
      <c r="G472" t="s">
        <v>629</v>
      </c>
      <c r="I472" t="s">
        <v>628</v>
      </c>
      <c r="J472" t="s">
        <v>13</v>
      </c>
      <c r="K472" t="s">
        <v>630</v>
      </c>
    </row>
    <row r="473" spans="1:11">
      <c r="A473" t="s">
        <v>254</v>
      </c>
      <c r="B473" t="s">
        <v>1713</v>
      </c>
      <c r="C473" t="s">
        <v>1714</v>
      </c>
      <c r="D473" s="96">
        <f>Prices!$J$8</f>
        <v>135.75539568345323</v>
      </c>
      <c r="F473">
        <v>65.349999999999994</v>
      </c>
      <c r="G473" t="s">
        <v>1715</v>
      </c>
      <c r="H473" t="s">
        <v>12</v>
      </c>
      <c r="I473" t="s">
        <v>1714</v>
      </c>
      <c r="J473" t="s">
        <v>1610</v>
      </c>
      <c r="K473" t="s">
        <v>1716</v>
      </c>
    </row>
    <row r="474" spans="1:11">
      <c r="A474" t="s">
        <v>111</v>
      </c>
      <c r="B474" t="s">
        <v>873</v>
      </c>
      <c r="C474" t="s">
        <v>874</v>
      </c>
      <c r="D474" s="96">
        <f>Prices!$J$8</f>
        <v>135.75539568345323</v>
      </c>
      <c r="F474">
        <v>3.63</v>
      </c>
      <c r="G474" t="s">
        <v>875</v>
      </c>
      <c r="H474" t="s">
        <v>12</v>
      </c>
      <c r="I474" t="s">
        <v>874</v>
      </c>
      <c r="J474" t="s">
        <v>13</v>
      </c>
      <c r="K474" t="s">
        <v>876</v>
      </c>
    </row>
    <row r="475" spans="1:11">
      <c r="A475" t="s">
        <v>23</v>
      </c>
      <c r="B475" t="s">
        <v>3491</v>
      </c>
      <c r="C475" t="s">
        <v>3168</v>
      </c>
      <c r="D475" s="96">
        <f>Prices!$J$8</f>
        <v>135.75539568345323</v>
      </c>
      <c r="F475">
        <v>38.979999999999997</v>
      </c>
      <c r="G475" t="s">
        <v>3492</v>
      </c>
      <c r="H475" t="s">
        <v>12</v>
      </c>
      <c r="I475" t="s">
        <v>3168</v>
      </c>
      <c r="J475" t="s">
        <v>1610</v>
      </c>
    </row>
    <row r="476" spans="1:11">
      <c r="A476" t="s">
        <v>10</v>
      </c>
      <c r="B476" t="s">
        <v>1717</v>
      </c>
      <c r="C476" t="s">
        <v>1718</v>
      </c>
      <c r="D476" s="96">
        <f>Prices!$J$8</f>
        <v>135.75539568345323</v>
      </c>
      <c r="F476">
        <v>3.02</v>
      </c>
      <c r="G476" t="s">
        <v>3810</v>
      </c>
      <c r="H476" t="s">
        <v>12</v>
      </c>
      <c r="I476" t="s">
        <v>1718</v>
      </c>
      <c r="J476" t="s">
        <v>1610</v>
      </c>
      <c r="K476" t="s">
        <v>3811</v>
      </c>
    </row>
    <row r="477" spans="1:11">
      <c r="A477" t="s">
        <v>10</v>
      </c>
      <c r="B477" t="s">
        <v>4153</v>
      </c>
      <c r="C477" t="s">
        <v>4154</v>
      </c>
      <c r="D477" s="96">
        <f>Prices!$J$8</f>
        <v>135.75539568345323</v>
      </c>
      <c r="F477">
        <v>56.18</v>
      </c>
      <c r="G477" t="s">
        <v>4155</v>
      </c>
      <c r="H477" t="s">
        <v>12</v>
      </c>
      <c r="I477" t="s">
        <v>4154</v>
      </c>
      <c r="J477" t="s">
        <v>1610</v>
      </c>
      <c r="K477" t="s">
        <v>4156</v>
      </c>
    </row>
    <row r="478" spans="1:11">
      <c r="A478" t="s">
        <v>10</v>
      </c>
      <c r="B478" t="s">
        <v>865</v>
      </c>
      <c r="C478" t="s">
        <v>866</v>
      </c>
      <c r="D478" s="96">
        <f>Prices!$J$8</f>
        <v>135.75539568345323</v>
      </c>
      <c r="F478">
        <v>23.26</v>
      </c>
      <c r="G478" t="s">
        <v>867</v>
      </c>
      <c r="H478" t="s">
        <v>12</v>
      </c>
      <c r="I478" t="s">
        <v>866</v>
      </c>
      <c r="J478" t="s">
        <v>13</v>
      </c>
      <c r="K478" t="s">
        <v>868</v>
      </c>
    </row>
    <row r="479" spans="1:11">
      <c r="A479" t="s">
        <v>254</v>
      </c>
      <c r="B479" t="s">
        <v>1719</v>
      </c>
      <c r="C479" t="s">
        <v>1720</v>
      </c>
      <c r="D479" s="96">
        <f>Prices!$J$8</f>
        <v>135.75539568345323</v>
      </c>
      <c r="F479">
        <v>107.21</v>
      </c>
      <c r="G479" t="s">
        <v>3633</v>
      </c>
      <c r="H479" t="s">
        <v>12</v>
      </c>
      <c r="I479" t="s">
        <v>1720</v>
      </c>
      <c r="J479" t="s">
        <v>1610</v>
      </c>
      <c r="K479" t="s">
        <v>3634</v>
      </c>
    </row>
    <row r="480" spans="1:11">
      <c r="A480" t="s">
        <v>10</v>
      </c>
      <c r="B480" t="s">
        <v>3532</v>
      </c>
      <c r="C480" t="s">
        <v>3533</v>
      </c>
      <c r="D480" s="96">
        <f>Prices!$J$8</f>
        <v>135.75539568345323</v>
      </c>
      <c r="F480">
        <v>12.75</v>
      </c>
      <c r="G480" t="s">
        <v>3534</v>
      </c>
      <c r="H480" t="s">
        <v>12</v>
      </c>
      <c r="I480" t="s">
        <v>3533</v>
      </c>
      <c r="J480" t="s">
        <v>1610</v>
      </c>
      <c r="K480" t="s">
        <v>3535</v>
      </c>
    </row>
    <row r="481" spans="1:11">
      <c r="A481" t="s">
        <v>254</v>
      </c>
      <c r="B481" t="s">
        <v>495</v>
      </c>
      <c r="C481" t="s">
        <v>496</v>
      </c>
      <c r="D481" s="96">
        <f>Prices!$J$8</f>
        <v>135.75539568345323</v>
      </c>
      <c r="F481">
        <v>0</v>
      </c>
      <c r="G481" t="s">
        <v>497</v>
      </c>
      <c r="I481" t="s">
        <v>496</v>
      </c>
      <c r="J481" t="s">
        <v>13</v>
      </c>
      <c r="K481" t="s">
        <v>498</v>
      </c>
    </row>
    <row r="482" spans="1:11">
      <c r="A482" t="s">
        <v>893</v>
      </c>
      <c r="B482" t="s">
        <v>2349</v>
      </c>
      <c r="C482" t="s">
        <v>2350</v>
      </c>
      <c r="D482" s="96">
        <f>Prices!$J$8</f>
        <v>135.75539568345323</v>
      </c>
      <c r="F482">
        <v>10</v>
      </c>
      <c r="G482" t="s">
        <v>2351</v>
      </c>
      <c r="H482" t="s">
        <v>12</v>
      </c>
      <c r="I482" t="s">
        <v>2350</v>
      </c>
      <c r="J482" t="s">
        <v>1610</v>
      </c>
      <c r="K482" t="s">
        <v>2352</v>
      </c>
    </row>
    <row r="483" spans="1:11">
      <c r="A483" t="s">
        <v>10</v>
      </c>
      <c r="B483" t="s">
        <v>1722</v>
      </c>
      <c r="C483" t="s">
        <v>1723</v>
      </c>
      <c r="D483" s="96">
        <f>Prices!$J$8</f>
        <v>135.75539568345323</v>
      </c>
      <c r="F483">
        <v>0.06</v>
      </c>
      <c r="G483" t="s">
        <v>4296</v>
      </c>
      <c r="H483" t="s">
        <v>12</v>
      </c>
      <c r="I483" t="s">
        <v>1723</v>
      </c>
      <c r="J483" t="s">
        <v>1610</v>
      </c>
      <c r="K483" t="s">
        <v>4297</v>
      </c>
    </row>
    <row r="484" spans="1:11">
      <c r="A484" t="s">
        <v>111</v>
      </c>
      <c r="B484" t="s">
        <v>877</v>
      </c>
      <c r="C484" t="s">
        <v>878</v>
      </c>
      <c r="D484" s="96">
        <f>Prices!$J$8</f>
        <v>135.75539568345323</v>
      </c>
      <c r="F484">
        <v>2.85</v>
      </c>
      <c r="G484" t="s">
        <v>879</v>
      </c>
      <c r="H484" t="s">
        <v>12</v>
      </c>
      <c r="I484" t="s">
        <v>878</v>
      </c>
      <c r="J484" t="s">
        <v>13</v>
      </c>
      <c r="K484" t="s">
        <v>880</v>
      </c>
    </row>
    <row r="485" spans="1:11">
      <c r="A485" t="s">
        <v>10</v>
      </c>
      <c r="B485" t="s">
        <v>2632</v>
      </c>
      <c r="C485" t="s">
        <v>2633</v>
      </c>
      <c r="D485" s="96">
        <f>Prices!$J$8</f>
        <v>135.75539568345323</v>
      </c>
      <c r="F485">
        <v>24.9</v>
      </c>
      <c r="G485" t="s">
        <v>2634</v>
      </c>
      <c r="H485" t="s">
        <v>12</v>
      </c>
      <c r="I485" t="s">
        <v>2633</v>
      </c>
      <c r="J485" t="s">
        <v>1610</v>
      </c>
      <c r="K485" t="s">
        <v>2635</v>
      </c>
    </row>
    <row r="486" spans="1:11">
      <c r="A486" t="s">
        <v>893</v>
      </c>
      <c r="B486" t="s">
        <v>4026</v>
      </c>
      <c r="C486" t="s">
        <v>4027</v>
      </c>
      <c r="D486" s="96">
        <f>Prices!$J$8</f>
        <v>135.75539568345323</v>
      </c>
      <c r="F486">
        <v>1.71</v>
      </c>
      <c r="G486" t="s">
        <v>4028</v>
      </c>
      <c r="H486" t="s">
        <v>12</v>
      </c>
      <c r="I486" t="s">
        <v>4027</v>
      </c>
      <c r="J486" t="s">
        <v>1610</v>
      </c>
      <c r="K486" t="s">
        <v>4029</v>
      </c>
    </row>
    <row r="487" spans="1:11">
      <c r="A487" t="s">
        <v>23</v>
      </c>
      <c r="B487" t="s">
        <v>4274</v>
      </c>
      <c r="C487" t="s">
        <v>3062</v>
      </c>
      <c r="D487" s="96">
        <f>Prices!$J$8</f>
        <v>135.75539568345323</v>
      </c>
      <c r="F487">
        <v>50.23</v>
      </c>
      <c r="G487" t="s">
        <v>4275</v>
      </c>
      <c r="H487" t="s">
        <v>12</v>
      </c>
      <c r="I487" t="s">
        <v>3062</v>
      </c>
      <c r="J487" t="s">
        <v>1610</v>
      </c>
    </row>
    <row r="488" spans="1:11">
      <c r="A488" t="s">
        <v>23</v>
      </c>
      <c r="B488" t="s">
        <v>2521</v>
      </c>
      <c r="C488" t="s">
        <v>2522</v>
      </c>
      <c r="D488" s="96">
        <f>Prices!$J$8</f>
        <v>135.75539568345323</v>
      </c>
      <c r="F488">
        <v>36.479999999999997</v>
      </c>
      <c r="G488" t="s">
        <v>2523</v>
      </c>
      <c r="H488" t="s">
        <v>12</v>
      </c>
      <c r="I488" t="s">
        <v>2522</v>
      </c>
      <c r="J488" t="s">
        <v>1610</v>
      </c>
    </row>
    <row r="489" spans="1:11">
      <c r="A489" t="s">
        <v>10</v>
      </c>
      <c r="B489" t="s">
        <v>3642</v>
      </c>
      <c r="C489" t="s">
        <v>3643</v>
      </c>
      <c r="D489" s="96">
        <f>Prices!$J$8</f>
        <v>135.75539568345323</v>
      </c>
      <c r="F489">
        <v>0.14000000000000001</v>
      </c>
      <c r="G489" t="s">
        <v>3644</v>
      </c>
      <c r="H489" t="s">
        <v>12</v>
      </c>
      <c r="I489" t="s">
        <v>3643</v>
      </c>
      <c r="J489" t="s">
        <v>1610</v>
      </c>
      <c r="K489" t="s">
        <v>3645</v>
      </c>
    </row>
    <row r="490" spans="1:11">
      <c r="A490" t="s">
        <v>170</v>
      </c>
      <c r="B490" t="s">
        <v>171</v>
      </c>
      <c r="C490" t="s">
        <v>172</v>
      </c>
      <c r="D490" s="96">
        <f>Prices!$J$8</f>
        <v>135.75539568345323</v>
      </c>
      <c r="F490">
        <v>5.37</v>
      </c>
      <c r="G490" t="s">
        <v>173</v>
      </c>
      <c r="H490" t="s">
        <v>12</v>
      </c>
      <c r="I490" t="s">
        <v>172</v>
      </c>
      <c r="J490" t="s">
        <v>13</v>
      </c>
      <c r="K490" t="s">
        <v>174</v>
      </c>
    </row>
    <row r="491" spans="1:11">
      <c r="A491" t="s">
        <v>111</v>
      </c>
      <c r="B491" t="s">
        <v>2887</v>
      </c>
      <c r="C491" t="s">
        <v>2888</v>
      </c>
      <c r="D491" s="96">
        <f>Prices!$J$8</f>
        <v>135.75539568345323</v>
      </c>
      <c r="F491">
        <v>0</v>
      </c>
      <c r="G491" t="s">
        <v>2889</v>
      </c>
      <c r="I491" t="s">
        <v>2888</v>
      </c>
      <c r="J491" t="s">
        <v>1610</v>
      </c>
      <c r="K491" t="s">
        <v>2890</v>
      </c>
    </row>
    <row r="492" spans="1:11">
      <c r="A492" t="s">
        <v>254</v>
      </c>
      <c r="B492" t="s">
        <v>2859</v>
      </c>
      <c r="C492" t="s">
        <v>1724</v>
      </c>
      <c r="D492" s="96">
        <f>Prices!$J$8</f>
        <v>135.75539568345323</v>
      </c>
      <c r="F492">
        <v>72.73</v>
      </c>
      <c r="G492" t="s">
        <v>2860</v>
      </c>
      <c r="H492" t="s">
        <v>12</v>
      </c>
      <c r="I492" t="s">
        <v>1724</v>
      </c>
      <c r="J492" t="s">
        <v>1610</v>
      </c>
    </row>
    <row r="493" spans="1:11">
      <c r="A493" t="s">
        <v>111</v>
      </c>
      <c r="B493" t="s">
        <v>881</v>
      </c>
      <c r="C493" t="s">
        <v>882</v>
      </c>
      <c r="D493" s="96">
        <f>Prices!$J$8</f>
        <v>135.75539568345323</v>
      </c>
      <c r="F493">
        <v>94.5</v>
      </c>
      <c r="G493" t="s">
        <v>883</v>
      </c>
      <c r="H493" t="s">
        <v>12</v>
      </c>
      <c r="I493" t="s">
        <v>882</v>
      </c>
      <c r="J493" t="s">
        <v>13</v>
      </c>
      <c r="K493" t="s">
        <v>884</v>
      </c>
    </row>
    <row r="494" spans="1:11">
      <c r="A494" t="s">
        <v>254</v>
      </c>
      <c r="B494" t="s">
        <v>3759</v>
      </c>
      <c r="C494" t="s">
        <v>1725</v>
      </c>
      <c r="D494" s="96">
        <f>Prices!$J$8</f>
        <v>135.75539568345323</v>
      </c>
      <c r="F494">
        <v>49.5</v>
      </c>
      <c r="G494" t="s">
        <v>3187</v>
      </c>
      <c r="H494" t="s">
        <v>12</v>
      </c>
      <c r="I494" t="s">
        <v>1725</v>
      </c>
      <c r="J494" t="s">
        <v>1610</v>
      </c>
    </row>
    <row r="495" spans="1:11">
      <c r="A495" t="s">
        <v>254</v>
      </c>
      <c r="B495" t="s">
        <v>885</v>
      </c>
      <c r="C495" t="s">
        <v>886</v>
      </c>
      <c r="D495" s="96">
        <f>Prices!$J$8</f>
        <v>135.75539568345323</v>
      </c>
      <c r="F495">
        <v>118.43</v>
      </c>
      <c r="G495" t="s">
        <v>887</v>
      </c>
      <c r="H495" t="s">
        <v>12</v>
      </c>
      <c r="I495" t="s">
        <v>886</v>
      </c>
      <c r="J495" t="s">
        <v>13</v>
      </c>
      <c r="K495" t="s">
        <v>888</v>
      </c>
    </row>
    <row r="496" spans="1:11">
      <c r="A496" t="s">
        <v>111</v>
      </c>
      <c r="B496" t="s">
        <v>3371</v>
      </c>
      <c r="C496" t="s">
        <v>3372</v>
      </c>
      <c r="D496" s="96">
        <f>Prices!$J$8</f>
        <v>135.75539568345323</v>
      </c>
      <c r="F496">
        <v>0</v>
      </c>
      <c r="G496" t="s">
        <v>3373</v>
      </c>
      <c r="I496" t="s">
        <v>3372</v>
      </c>
      <c r="J496" t="s">
        <v>1610</v>
      </c>
      <c r="K496" t="s">
        <v>3374</v>
      </c>
    </row>
    <row r="497" spans="1:11">
      <c r="A497" t="s">
        <v>111</v>
      </c>
      <c r="B497" t="s">
        <v>235</v>
      </c>
      <c r="C497" t="s">
        <v>236</v>
      </c>
      <c r="D497" s="96">
        <f>Prices!$J$8</f>
        <v>135.75539568345323</v>
      </c>
      <c r="F497">
        <v>0</v>
      </c>
      <c r="G497" t="s">
        <v>237</v>
      </c>
      <c r="I497" t="s">
        <v>236</v>
      </c>
      <c r="J497" t="s">
        <v>13</v>
      </c>
      <c r="K497" t="s">
        <v>238</v>
      </c>
    </row>
    <row r="498" spans="1:11">
      <c r="A498" t="s">
        <v>254</v>
      </c>
      <c r="B498" t="s">
        <v>2552</v>
      </c>
      <c r="C498" t="s">
        <v>2553</v>
      </c>
      <c r="D498" s="96">
        <f>Prices!$J$8</f>
        <v>135.75539568345323</v>
      </c>
      <c r="F498">
        <v>25.58</v>
      </c>
      <c r="G498" t="s">
        <v>2554</v>
      </c>
      <c r="H498" t="s">
        <v>12</v>
      </c>
      <c r="I498" t="s">
        <v>2553</v>
      </c>
      <c r="J498" t="s">
        <v>1610</v>
      </c>
    </row>
    <row r="499" spans="1:11">
      <c r="A499" t="s">
        <v>893</v>
      </c>
      <c r="B499" t="s">
        <v>1162</v>
      </c>
      <c r="C499" t="s">
        <v>1163</v>
      </c>
      <c r="D499" s="96">
        <f>Prices!$J$8</f>
        <v>135.75539568345323</v>
      </c>
      <c r="F499">
        <v>0.34</v>
      </c>
      <c r="G499" t="s">
        <v>1164</v>
      </c>
      <c r="H499" t="s">
        <v>12</v>
      </c>
      <c r="I499" t="s">
        <v>1163</v>
      </c>
      <c r="J499" t="s">
        <v>940</v>
      </c>
      <c r="K499" t="s">
        <v>1165</v>
      </c>
    </row>
    <row r="500" spans="1:11">
      <c r="A500" t="s">
        <v>254</v>
      </c>
      <c r="B500" t="s">
        <v>420</v>
      </c>
      <c r="C500" t="s">
        <v>421</v>
      </c>
      <c r="D500" s="96">
        <f>Prices!$J$8</f>
        <v>135.75539568345323</v>
      </c>
      <c r="F500">
        <v>67.84</v>
      </c>
      <c r="G500" t="s">
        <v>422</v>
      </c>
      <c r="H500" t="s">
        <v>12</v>
      </c>
      <c r="I500" t="s">
        <v>421</v>
      </c>
      <c r="J500" t="s">
        <v>13</v>
      </c>
      <c r="K500" t="s">
        <v>423</v>
      </c>
    </row>
    <row r="501" spans="1:11" ht="30">
      <c r="A501" t="s">
        <v>10</v>
      </c>
      <c r="B501" s="1" t="s">
        <v>4184</v>
      </c>
      <c r="C501" t="s">
        <v>4185</v>
      </c>
      <c r="D501" s="96">
        <f>Prices!$J$8</f>
        <v>135.75539568345323</v>
      </c>
      <c r="F501">
        <v>5.69</v>
      </c>
      <c r="G501" t="s">
        <v>4186</v>
      </c>
      <c r="H501" t="s">
        <v>12</v>
      </c>
      <c r="I501" t="s">
        <v>4185</v>
      </c>
      <c r="J501" t="s">
        <v>1610</v>
      </c>
    </row>
    <row r="502" spans="1:11">
      <c r="A502" t="s">
        <v>111</v>
      </c>
      <c r="B502" t="s">
        <v>3069</v>
      </c>
      <c r="C502" t="s">
        <v>3070</v>
      </c>
      <c r="D502" s="96">
        <f>Prices!$J$8</f>
        <v>135.75539568345323</v>
      </c>
      <c r="F502">
        <v>0</v>
      </c>
      <c r="G502" t="s">
        <v>3071</v>
      </c>
      <c r="I502" t="s">
        <v>3070</v>
      </c>
      <c r="J502" t="s">
        <v>1610</v>
      </c>
      <c r="K502" t="s">
        <v>3072</v>
      </c>
    </row>
    <row r="503" spans="1:11">
      <c r="A503" t="s">
        <v>111</v>
      </c>
      <c r="B503" t="s">
        <v>443</v>
      </c>
      <c r="C503" t="s">
        <v>444</v>
      </c>
      <c r="D503" s="96">
        <f>Prices!$J$8</f>
        <v>135.75539568345323</v>
      </c>
      <c r="F503">
        <v>0</v>
      </c>
      <c r="G503" t="s">
        <v>445</v>
      </c>
      <c r="I503" t="s">
        <v>444</v>
      </c>
      <c r="J503" t="s">
        <v>13</v>
      </c>
      <c r="K503" t="s">
        <v>446</v>
      </c>
    </row>
    <row r="504" spans="1:11">
      <c r="A504" t="s">
        <v>10</v>
      </c>
      <c r="B504" t="s">
        <v>2187</v>
      </c>
      <c r="C504" t="s">
        <v>2188</v>
      </c>
      <c r="D504" s="96">
        <f>Prices!$J$8</f>
        <v>135.75539568345323</v>
      </c>
      <c r="F504">
        <v>6.24</v>
      </c>
      <c r="G504" t="s">
        <v>2189</v>
      </c>
      <c r="H504" t="s">
        <v>12</v>
      </c>
      <c r="I504" t="s">
        <v>2188</v>
      </c>
      <c r="J504" t="s">
        <v>1610</v>
      </c>
      <c r="K504" t="s">
        <v>2190</v>
      </c>
    </row>
    <row r="505" spans="1:11">
      <c r="A505" t="s">
        <v>10</v>
      </c>
      <c r="B505" t="s">
        <v>1726</v>
      </c>
      <c r="C505" t="s">
        <v>1727</v>
      </c>
      <c r="D505" s="96">
        <f>Prices!$J$8</f>
        <v>135.75539568345323</v>
      </c>
      <c r="F505">
        <v>113.73</v>
      </c>
      <c r="G505" t="s">
        <v>1728</v>
      </c>
      <c r="H505" t="s">
        <v>12</v>
      </c>
      <c r="I505" t="s">
        <v>1727</v>
      </c>
      <c r="J505" t="s">
        <v>1610</v>
      </c>
      <c r="K505" t="s">
        <v>1729</v>
      </c>
    </row>
    <row r="506" spans="1:11">
      <c r="A506" t="s">
        <v>111</v>
      </c>
      <c r="B506" t="s">
        <v>889</v>
      </c>
      <c r="C506" t="s">
        <v>890</v>
      </c>
      <c r="D506" s="96">
        <f>Prices!$J$8</f>
        <v>135.75539568345323</v>
      </c>
      <c r="F506">
        <v>0.6</v>
      </c>
      <c r="G506" t="s">
        <v>891</v>
      </c>
      <c r="H506" t="s">
        <v>12</v>
      </c>
      <c r="I506" t="s">
        <v>890</v>
      </c>
      <c r="J506" t="s">
        <v>13</v>
      </c>
      <c r="K506" t="s">
        <v>892</v>
      </c>
    </row>
    <row r="507" spans="1:11" ht="30">
      <c r="A507" t="s">
        <v>10</v>
      </c>
      <c r="B507" s="1" t="s">
        <v>3479</v>
      </c>
      <c r="C507" t="s">
        <v>3020</v>
      </c>
      <c r="D507" s="96">
        <f>Prices!$J$8</f>
        <v>135.75539568345323</v>
      </c>
      <c r="F507">
        <v>20.96</v>
      </c>
      <c r="G507" t="s">
        <v>3480</v>
      </c>
      <c r="H507" t="s">
        <v>12</v>
      </c>
      <c r="I507" t="s">
        <v>3020</v>
      </c>
      <c r="J507" t="s">
        <v>1610</v>
      </c>
    </row>
    <row r="508" spans="1:11">
      <c r="A508" t="s">
        <v>111</v>
      </c>
      <c r="B508" t="s">
        <v>3248</v>
      </c>
      <c r="C508" t="s">
        <v>3249</v>
      </c>
      <c r="D508" s="96">
        <f>Prices!$J$8</f>
        <v>135.75539568345323</v>
      </c>
      <c r="F508">
        <v>0</v>
      </c>
      <c r="G508" t="s">
        <v>3250</v>
      </c>
      <c r="I508" t="s">
        <v>3249</v>
      </c>
      <c r="J508" t="s">
        <v>1610</v>
      </c>
      <c r="K508" t="s">
        <v>3251</v>
      </c>
    </row>
    <row r="509" spans="1:11">
      <c r="A509" t="s">
        <v>111</v>
      </c>
      <c r="B509" t="s">
        <v>3131</v>
      </c>
      <c r="C509" t="s">
        <v>3132</v>
      </c>
      <c r="D509" s="96">
        <f>Prices!$J$8</f>
        <v>135.75539568345323</v>
      </c>
      <c r="F509">
        <v>0</v>
      </c>
      <c r="G509" t="s">
        <v>3133</v>
      </c>
      <c r="I509" t="s">
        <v>3132</v>
      </c>
      <c r="J509" t="s">
        <v>1610</v>
      </c>
      <c r="K509" t="s">
        <v>3134</v>
      </c>
    </row>
    <row r="510" spans="1:11">
      <c r="A510" t="s">
        <v>10</v>
      </c>
      <c r="B510" t="s">
        <v>3987</v>
      </c>
      <c r="C510" t="s">
        <v>3988</v>
      </c>
      <c r="D510" s="96">
        <f>Prices!$J$8</f>
        <v>135.75539568345323</v>
      </c>
      <c r="F510">
        <v>23.33</v>
      </c>
      <c r="G510" t="s">
        <v>3989</v>
      </c>
      <c r="H510" t="s">
        <v>12</v>
      </c>
      <c r="I510" t="s">
        <v>3988</v>
      </c>
      <c r="J510" t="s">
        <v>1610</v>
      </c>
      <c r="K510" t="s">
        <v>3990</v>
      </c>
    </row>
    <row r="511" spans="1:11">
      <c r="A511" t="s">
        <v>10</v>
      </c>
      <c r="B511" t="s">
        <v>2581</v>
      </c>
      <c r="C511" t="s">
        <v>2582</v>
      </c>
      <c r="D511" s="96">
        <f>Prices!$J$8</f>
        <v>135.75539568345323</v>
      </c>
      <c r="F511">
        <v>86.87</v>
      </c>
      <c r="G511" t="s">
        <v>2583</v>
      </c>
      <c r="H511" t="s">
        <v>12</v>
      </c>
      <c r="I511" t="s">
        <v>2582</v>
      </c>
      <c r="J511" t="s">
        <v>1610</v>
      </c>
      <c r="K511" t="s">
        <v>2584</v>
      </c>
    </row>
    <row r="512" spans="1:11">
      <c r="A512" t="s">
        <v>893</v>
      </c>
      <c r="B512" t="s">
        <v>894</v>
      </c>
      <c r="C512" t="s">
        <v>895</v>
      </c>
      <c r="D512" s="96">
        <f>Prices!$J$8</f>
        <v>135.75539568345323</v>
      </c>
      <c r="F512">
        <v>378.36</v>
      </c>
      <c r="G512" t="s">
        <v>896</v>
      </c>
      <c r="H512" t="s">
        <v>12</v>
      </c>
      <c r="I512" t="s">
        <v>895</v>
      </c>
      <c r="J512" t="s">
        <v>13</v>
      </c>
      <c r="K512" t="s">
        <v>897</v>
      </c>
    </row>
    <row r="513" spans="1:11">
      <c r="A513" t="s">
        <v>23</v>
      </c>
      <c r="B513" t="s">
        <v>2813</v>
      </c>
      <c r="C513" t="s">
        <v>2814</v>
      </c>
      <c r="D513" s="96">
        <f>Prices!$J$8</f>
        <v>135.75539568345323</v>
      </c>
      <c r="F513">
        <v>17.899999999999999</v>
      </c>
      <c r="G513" t="s">
        <v>2815</v>
      </c>
      <c r="H513" t="s">
        <v>12</v>
      </c>
      <c r="I513" t="s">
        <v>2814</v>
      </c>
      <c r="J513" t="s">
        <v>1610</v>
      </c>
    </row>
    <row r="514" spans="1:11">
      <c r="A514" t="s">
        <v>10</v>
      </c>
      <c r="B514" t="s">
        <v>1730</v>
      </c>
      <c r="C514" t="s">
        <v>1731</v>
      </c>
      <c r="D514" s="96">
        <f>Prices!$J$8</f>
        <v>135.75539568345323</v>
      </c>
      <c r="F514">
        <v>18.079999999999998</v>
      </c>
      <c r="G514" t="s">
        <v>1732</v>
      </c>
      <c r="H514" t="s">
        <v>12</v>
      </c>
      <c r="I514" t="s">
        <v>1731</v>
      </c>
      <c r="J514" t="s">
        <v>1610</v>
      </c>
      <c r="K514" t="s">
        <v>1733</v>
      </c>
    </row>
    <row r="515" spans="1:11">
      <c r="A515" t="s">
        <v>111</v>
      </c>
      <c r="B515" t="s">
        <v>112</v>
      </c>
      <c r="C515" t="s">
        <v>113</v>
      </c>
      <c r="D515" s="96">
        <f>Prices!$J$8</f>
        <v>135.75539568345323</v>
      </c>
      <c r="F515">
        <v>0</v>
      </c>
      <c r="G515" t="s">
        <v>114</v>
      </c>
      <c r="I515" t="s">
        <v>113</v>
      </c>
      <c r="J515" t="s">
        <v>13</v>
      </c>
      <c r="K515" t="s">
        <v>115</v>
      </c>
    </row>
    <row r="516" spans="1:11">
      <c r="A516" t="s">
        <v>10</v>
      </c>
      <c r="B516" t="s">
        <v>3713</v>
      </c>
      <c r="C516" t="s">
        <v>3714</v>
      </c>
      <c r="D516" s="96">
        <f>Prices!$J$8</f>
        <v>135.75539568345323</v>
      </c>
      <c r="F516">
        <v>6.31</v>
      </c>
      <c r="G516" t="s">
        <v>3715</v>
      </c>
      <c r="H516" t="s">
        <v>12</v>
      </c>
      <c r="I516" t="s">
        <v>3714</v>
      </c>
      <c r="J516" t="s">
        <v>1610</v>
      </c>
      <c r="K516" t="s">
        <v>2044</v>
      </c>
    </row>
    <row r="517" spans="1:11">
      <c r="A517" t="s">
        <v>10</v>
      </c>
      <c r="B517" t="s">
        <v>4030</v>
      </c>
      <c r="C517" t="s">
        <v>4031</v>
      </c>
      <c r="D517" s="96">
        <f>Prices!$J$8</f>
        <v>135.75539568345323</v>
      </c>
      <c r="F517">
        <v>0.61</v>
      </c>
      <c r="G517" t="s">
        <v>4032</v>
      </c>
      <c r="H517" t="s">
        <v>12</v>
      </c>
      <c r="I517" t="s">
        <v>4031</v>
      </c>
      <c r="J517" t="s">
        <v>1610</v>
      </c>
      <c r="K517" t="s">
        <v>4033</v>
      </c>
    </row>
    <row r="518" spans="1:11">
      <c r="A518" t="s">
        <v>10</v>
      </c>
      <c r="B518" t="s">
        <v>1130</v>
      </c>
      <c r="C518" t="s">
        <v>1131</v>
      </c>
      <c r="D518" s="96">
        <f>Prices!$J$8</f>
        <v>135.75539568345323</v>
      </c>
      <c r="F518">
        <v>28.73</v>
      </c>
      <c r="G518" t="s">
        <v>1132</v>
      </c>
      <c r="H518" t="s">
        <v>12</v>
      </c>
      <c r="I518" t="s">
        <v>1131</v>
      </c>
      <c r="J518" t="s">
        <v>940</v>
      </c>
    </row>
    <row r="519" spans="1:11">
      <c r="A519" t="s">
        <v>111</v>
      </c>
      <c r="B519" t="s">
        <v>1598</v>
      </c>
      <c r="C519" t="s">
        <v>1599</v>
      </c>
      <c r="D519" s="96">
        <f>Prices!$J$8</f>
        <v>135.75539568345323</v>
      </c>
      <c r="F519">
        <v>0</v>
      </c>
      <c r="G519" t="s">
        <v>1600</v>
      </c>
      <c r="I519" t="s">
        <v>1599</v>
      </c>
      <c r="J519" t="s">
        <v>940</v>
      </c>
      <c r="K519" t="s">
        <v>1601</v>
      </c>
    </row>
    <row r="520" spans="1:11">
      <c r="A520" t="s">
        <v>76</v>
      </c>
      <c r="B520" t="s">
        <v>1595</v>
      </c>
      <c r="C520" t="s">
        <v>1596</v>
      </c>
      <c r="D520" s="96">
        <f>Prices!$J$8</f>
        <v>135.75539568345323</v>
      </c>
      <c r="F520">
        <v>0</v>
      </c>
      <c r="G520" t="s">
        <v>1597</v>
      </c>
      <c r="I520" t="s">
        <v>1596</v>
      </c>
      <c r="J520" t="s">
        <v>940</v>
      </c>
      <c r="K520" t="s">
        <v>965</v>
      </c>
    </row>
    <row r="521" spans="1:11">
      <c r="A521" t="s">
        <v>893</v>
      </c>
      <c r="B521" t="s">
        <v>4140</v>
      </c>
      <c r="C521" t="s">
        <v>4141</v>
      </c>
      <c r="D521" s="96">
        <f>Prices!$J$8</f>
        <v>135.75539568345323</v>
      </c>
      <c r="F521">
        <v>3.03</v>
      </c>
      <c r="G521" t="s">
        <v>4142</v>
      </c>
      <c r="H521" t="s">
        <v>12</v>
      </c>
      <c r="I521" t="s">
        <v>4141</v>
      </c>
      <c r="J521" t="s">
        <v>1610</v>
      </c>
      <c r="K521" t="s">
        <v>4143</v>
      </c>
    </row>
    <row r="522" spans="1:11">
      <c r="A522" t="s">
        <v>893</v>
      </c>
      <c r="B522" t="s">
        <v>4117</v>
      </c>
      <c r="C522" t="s">
        <v>4118</v>
      </c>
      <c r="D522" s="96">
        <f>Prices!$J$8</f>
        <v>135.75539568345323</v>
      </c>
      <c r="F522">
        <v>2.02</v>
      </c>
      <c r="G522" t="s">
        <v>4119</v>
      </c>
      <c r="H522" t="s">
        <v>12</v>
      </c>
      <c r="I522" t="s">
        <v>4118</v>
      </c>
      <c r="J522" t="s">
        <v>1610</v>
      </c>
      <c r="K522" t="s">
        <v>3084</v>
      </c>
    </row>
    <row r="523" spans="1:11">
      <c r="A523" t="s">
        <v>10</v>
      </c>
      <c r="B523" t="s">
        <v>2191</v>
      </c>
      <c r="C523" t="s">
        <v>2192</v>
      </c>
      <c r="D523" s="96">
        <f>Prices!$J$8</f>
        <v>135.75539568345323</v>
      </c>
      <c r="F523">
        <v>1.95</v>
      </c>
      <c r="G523" t="s">
        <v>2193</v>
      </c>
      <c r="H523" t="s">
        <v>12</v>
      </c>
      <c r="I523" t="s">
        <v>2192</v>
      </c>
      <c r="J523" t="s">
        <v>1610</v>
      </c>
    </row>
    <row r="524" spans="1:11">
      <c r="A524" t="s">
        <v>111</v>
      </c>
      <c r="B524" t="s">
        <v>1591</v>
      </c>
      <c r="C524" t="s">
        <v>1592</v>
      </c>
      <c r="D524" s="96">
        <f>Prices!$J$8</f>
        <v>135.75539568345323</v>
      </c>
      <c r="F524">
        <v>0</v>
      </c>
      <c r="G524" t="s">
        <v>1593</v>
      </c>
      <c r="I524" t="s">
        <v>1592</v>
      </c>
      <c r="J524" t="s">
        <v>940</v>
      </c>
      <c r="K524" t="s">
        <v>1594</v>
      </c>
    </row>
    <row r="525" spans="1:11">
      <c r="A525" t="s">
        <v>10</v>
      </c>
      <c r="B525" t="s">
        <v>2982</v>
      </c>
      <c r="C525" t="s">
        <v>2983</v>
      </c>
      <c r="D525" s="96">
        <f>Prices!$J$8</f>
        <v>135.75539568345323</v>
      </c>
      <c r="F525">
        <v>0</v>
      </c>
      <c r="G525" t="s">
        <v>2984</v>
      </c>
      <c r="I525" t="s">
        <v>2983</v>
      </c>
      <c r="J525" t="s">
        <v>1610</v>
      </c>
      <c r="K525" t="s">
        <v>2985</v>
      </c>
    </row>
    <row r="526" spans="1:11">
      <c r="A526" t="s">
        <v>10</v>
      </c>
      <c r="B526" t="s">
        <v>1604</v>
      </c>
      <c r="C526" t="s">
        <v>995</v>
      </c>
      <c r="D526" s="96">
        <f>Prices!$J$8</f>
        <v>135.75539568345323</v>
      </c>
      <c r="F526">
        <v>4.04</v>
      </c>
      <c r="G526" t="s">
        <v>996</v>
      </c>
      <c r="H526" t="s">
        <v>12</v>
      </c>
      <c r="I526" t="s">
        <v>995</v>
      </c>
      <c r="J526" t="s">
        <v>940</v>
      </c>
    </row>
    <row r="527" spans="1:11">
      <c r="A527" t="s">
        <v>10</v>
      </c>
      <c r="B527" t="s">
        <v>2473</v>
      </c>
      <c r="C527" t="s">
        <v>2474</v>
      </c>
      <c r="D527" s="96">
        <f>Prices!$J$8</f>
        <v>135.75539568345323</v>
      </c>
      <c r="F527">
        <v>177.21</v>
      </c>
      <c r="G527" t="s">
        <v>2475</v>
      </c>
      <c r="H527" t="s">
        <v>12</v>
      </c>
      <c r="I527" t="s">
        <v>2474</v>
      </c>
      <c r="J527" t="s">
        <v>1610</v>
      </c>
      <c r="K527" t="s">
        <v>2476</v>
      </c>
    </row>
    <row r="528" spans="1:11">
      <c r="A528" t="s">
        <v>10</v>
      </c>
      <c r="B528" t="s">
        <v>1214</v>
      </c>
      <c r="C528" t="s">
        <v>1215</v>
      </c>
      <c r="D528" s="96">
        <f>Prices!$J$8</f>
        <v>135.75539568345323</v>
      </c>
      <c r="F528">
        <v>2.42</v>
      </c>
      <c r="G528" t="s">
        <v>1216</v>
      </c>
      <c r="H528" t="s">
        <v>12</v>
      </c>
      <c r="I528" t="s">
        <v>1215</v>
      </c>
      <c r="J528" t="s">
        <v>940</v>
      </c>
    </row>
    <row r="529" spans="1:11">
      <c r="A529" t="s">
        <v>111</v>
      </c>
      <c r="B529" t="s">
        <v>1028</v>
      </c>
      <c r="C529" t="s">
        <v>1029</v>
      </c>
      <c r="D529" s="96">
        <f>Prices!$J$8</f>
        <v>135.75539568345323</v>
      </c>
      <c r="F529">
        <v>0</v>
      </c>
      <c r="G529" t="s">
        <v>1030</v>
      </c>
      <c r="I529" t="s">
        <v>1029</v>
      </c>
      <c r="J529" t="s">
        <v>940</v>
      </c>
      <c r="K529" t="s">
        <v>1031</v>
      </c>
    </row>
    <row r="530" spans="1:11">
      <c r="A530" t="s">
        <v>10</v>
      </c>
      <c r="B530" t="s">
        <v>3648</v>
      </c>
      <c r="C530" t="s">
        <v>3649</v>
      </c>
      <c r="D530" s="96">
        <f>Prices!$J$8</f>
        <v>135.75539568345323</v>
      </c>
      <c r="F530">
        <v>6.02</v>
      </c>
      <c r="G530" t="s">
        <v>3650</v>
      </c>
      <c r="H530" t="s">
        <v>12</v>
      </c>
      <c r="I530" t="s">
        <v>3649</v>
      </c>
      <c r="J530" t="s">
        <v>1610</v>
      </c>
      <c r="K530" t="s">
        <v>2653</v>
      </c>
    </row>
    <row r="531" spans="1:11">
      <c r="A531" t="s">
        <v>10</v>
      </c>
      <c r="B531" t="s">
        <v>2990</v>
      </c>
      <c r="C531" t="s">
        <v>2749</v>
      </c>
      <c r="D531" s="96">
        <f>Prices!$J$8</f>
        <v>135.75539568345323</v>
      </c>
      <c r="F531">
        <v>0</v>
      </c>
      <c r="G531" t="s">
        <v>2750</v>
      </c>
      <c r="I531" t="s">
        <v>2749</v>
      </c>
      <c r="J531" t="s">
        <v>1610</v>
      </c>
      <c r="K531" t="s">
        <v>2751</v>
      </c>
    </row>
    <row r="532" spans="1:11">
      <c r="A532" t="s">
        <v>10</v>
      </c>
      <c r="B532" t="s">
        <v>3670</v>
      </c>
      <c r="C532" t="s">
        <v>3671</v>
      </c>
      <c r="D532" s="96">
        <f>Prices!$J$8</f>
        <v>135.75539568345323</v>
      </c>
      <c r="F532">
        <v>89.4</v>
      </c>
      <c r="G532" t="s">
        <v>3672</v>
      </c>
      <c r="H532" t="s">
        <v>12</v>
      </c>
      <c r="I532" t="s">
        <v>3671</v>
      </c>
      <c r="J532" t="s">
        <v>1610</v>
      </c>
      <c r="K532" t="s">
        <v>2081</v>
      </c>
    </row>
    <row r="533" spans="1:11">
      <c r="A533" t="s">
        <v>10</v>
      </c>
      <c r="B533" t="s">
        <v>989</v>
      </c>
      <c r="C533" t="s">
        <v>990</v>
      </c>
      <c r="D533" s="96">
        <f>Prices!$J$8</f>
        <v>135.75539568345323</v>
      </c>
      <c r="F533">
        <v>36.79</v>
      </c>
      <c r="G533" t="s">
        <v>991</v>
      </c>
      <c r="H533" t="s">
        <v>12</v>
      </c>
      <c r="I533" t="s">
        <v>990</v>
      </c>
      <c r="J533" t="s">
        <v>940</v>
      </c>
      <c r="K533" t="s">
        <v>992</v>
      </c>
    </row>
    <row r="534" spans="1:11">
      <c r="A534" t="s">
        <v>111</v>
      </c>
      <c r="B534" t="s">
        <v>1366</v>
      </c>
      <c r="C534" t="s">
        <v>1367</v>
      </c>
      <c r="D534" s="96">
        <f>Prices!$J$8</f>
        <v>135.75539568345323</v>
      </c>
      <c r="F534">
        <v>7.67</v>
      </c>
      <c r="G534" t="s">
        <v>1368</v>
      </c>
      <c r="H534" t="s">
        <v>12</v>
      </c>
      <c r="I534" t="s">
        <v>1367</v>
      </c>
      <c r="J534" t="s">
        <v>940</v>
      </c>
      <c r="K534" t="s">
        <v>1369</v>
      </c>
    </row>
    <row r="535" spans="1:11">
      <c r="A535" t="s">
        <v>10</v>
      </c>
      <c r="B535" t="s">
        <v>3639</v>
      </c>
      <c r="C535" t="s">
        <v>3640</v>
      </c>
      <c r="D535" s="96">
        <f>Prices!$J$8</f>
        <v>135.75539568345323</v>
      </c>
      <c r="F535">
        <v>21.06</v>
      </c>
      <c r="G535" t="s">
        <v>3641</v>
      </c>
      <c r="H535" t="s">
        <v>12</v>
      </c>
      <c r="I535" t="s">
        <v>3640</v>
      </c>
      <c r="J535" t="s">
        <v>1610</v>
      </c>
      <c r="K535" t="s">
        <v>3293</v>
      </c>
    </row>
    <row r="536" spans="1:11">
      <c r="A536" t="s">
        <v>10</v>
      </c>
      <c r="B536" t="s">
        <v>1352</v>
      </c>
      <c r="C536" t="s">
        <v>1353</v>
      </c>
      <c r="D536" s="96">
        <f>Prices!$J$8</f>
        <v>135.75539568345323</v>
      </c>
      <c r="F536">
        <v>37.85</v>
      </c>
      <c r="G536" t="s">
        <v>1354</v>
      </c>
      <c r="H536" t="s">
        <v>12</v>
      </c>
      <c r="I536" t="s">
        <v>1353</v>
      </c>
      <c r="J536" t="s">
        <v>940</v>
      </c>
      <c r="K536" t="s">
        <v>1355</v>
      </c>
    </row>
    <row r="537" spans="1:11">
      <c r="A537" t="s">
        <v>10</v>
      </c>
      <c r="B537" t="s">
        <v>3923</v>
      </c>
      <c r="C537" t="s">
        <v>3924</v>
      </c>
      <c r="D537" s="96">
        <f>Prices!$J$8</f>
        <v>135.75539568345323</v>
      </c>
      <c r="F537">
        <v>43.14</v>
      </c>
      <c r="G537" t="s">
        <v>3925</v>
      </c>
      <c r="H537" t="s">
        <v>12</v>
      </c>
      <c r="I537" t="s">
        <v>3924</v>
      </c>
      <c r="J537" t="s">
        <v>1610</v>
      </c>
      <c r="K537" t="s">
        <v>2081</v>
      </c>
    </row>
    <row r="538" spans="1:11">
      <c r="A538" t="s">
        <v>111</v>
      </c>
      <c r="B538" t="s">
        <v>1071</v>
      </c>
      <c r="C538" t="s">
        <v>1072</v>
      </c>
      <c r="D538" s="96">
        <f>Prices!$J$8</f>
        <v>135.75539568345323</v>
      </c>
      <c r="F538">
        <v>0</v>
      </c>
      <c r="G538" t="s">
        <v>1073</v>
      </c>
      <c r="I538" t="s">
        <v>1072</v>
      </c>
      <c r="J538" t="s">
        <v>940</v>
      </c>
      <c r="K538" t="s">
        <v>1074</v>
      </c>
    </row>
    <row r="539" spans="1:11">
      <c r="A539" t="s">
        <v>10</v>
      </c>
      <c r="B539" t="s">
        <v>4085</v>
      </c>
      <c r="C539" t="s">
        <v>4086</v>
      </c>
      <c r="D539" s="96">
        <f>Prices!$J$8</f>
        <v>135.75539568345323</v>
      </c>
      <c r="F539">
        <v>69.19</v>
      </c>
      <c r="G539" t="s">
        <v>4087</v>
      </c>
      <c r="H539" t="s">
        <v>12</v>
      </c>
      <c r="I539" t="s">
        <v>4086</v>
      </c>
      <c r="J539" t="s">
        <v>1610</v>
      </c>
      <c r="K539" t="s">
        <v>4088</v>
      </c>
    </row>
    <row r="540" spans="1:11">
      <c r="A540" t="s">
        <v>10</v>
      </c>
      <c r="B540" t="s">
        <v>3073</v>
      </c>
      <c r="C540" t="s">
        <v>3074</v>
      </c>
      <c r="D540" s="96">
        <f>Prices!$J$8</f>
        <v>135.75539568345323</v>
      </c>
      <c r="F540">
        <v>0</v>
      </c>
      <c r="G540" t="s">
        <v>3075</v>
      </c>
      <c r="I540" t="s">
        <v>3074</v>
      </c>
      <c r="J540" t="s">
        <v>1610</v>
      </c>
      <c r="K540" t="s">
        <v>2653</v>
      </c>
    </row>
    <row r="541" spans="1:11">
      <c r="A541" t="s">
        <v>111</v>
      </c>
      <c r="B541" t="s">
        <v>1117</v>
      </c>
      <c r="C541" t="s">
        <v>1118</v>
      </c>
      <c r="D541" s="96">
        <f>Prices!$J$8</f>
        <v>135.75539568345323</v>
      </c>
      <c r="F541">
        <v>0</v>
      </c>
      <c r="G541" t="s">
        <v>1119</v>
      </c>
      <c r="I541" t="s">
        <v>1118</v>
      </c>
      <c r="J541" t="s">
        <v>940</v>
      </c>
      <c r="K541" t="s">
        <v>1120</v>
      </c>
    </row>
    <row r="542" spans="1:11">
      <c r="A542" t="s">
        <v>10</v>
      </c>
      <c r="B542" t="s">
        <v>3560</v>
      </c>
      <c r="C542" t="s">
        <v>3561</v>
      </c>
      <c r="D542" s="96">
        <f>Prices!$J$8</f>
        <v>135.75539568345323</v>
      </c>
      <c r="F542">
        <v>39.81</v>
      </c>
      <c r="G542" t="s">
        <v>3562</v>
      </c>
      <c r="H542" t="s">
        <v>12</v>
      </c>
      <c r="I542" t="s">
        <v>3561</v>
      </c>
      <c r="J542" t="s">
        <v>1610</v>
      </c>
      <c r="K542" t="s">
        <v>2653</v>
      </c>
    </row>
    <row r="543" spans="1:11">
      <c r="A543" t="s">
        <v>10</v>
      </c>
      <c r="B543" t="s">
        <v>1156</v>
      </c>
      <c r="C543" t="s">
        <v>1157</v>
      </c>
      <c r="D543" s="96">
        <f>Prices!$D$84</f>
        <v>131.73076923076923</v>
      </c>
      <c r="F543">
        <v>4.9000000000000004</v>
      </c>
      <c r="G543" t="s">
        <v>1315</v>
      </c>
      <c r="H543" t="s">
        <v>12</v>
      </c>
      <c r="I543" t="s">
        <v>1157</v>
      </c>
      <c r="J543" t="s">
        <v>940</v>
      </c>
      <c r="K543" t="s">
        <v>1316</v>
      </c>
    </row>
    <row r="544" spans="1:11">
      <c r="A544" t="s">
        <v>76</v>
      </c>
      <c r="B544" t="s">
        <v>1571</v>
      </c>
      <c r="C544" t="s">
        <v>1572</v>
      </c>
      <c r="D544" s="96">
        <f>Prices!$D$84</f>
        <v>131.73076923076923</v>
      </c>
      <c r="F544">
        <v>7.09</v>
      </c>
      <c r="G544" t="s">
        <v>1573</v>
      </c>
      <c r="H544" t="s">
        <v>12</v>
      </c>
      <c r="I544" t="s">
        <v>1572</v>
      </c>
      <c r="J544" t="s">
        <v>940</v>
      </c>
      <c r="K544" t="s">
        <v>965</v>
      </c>
    </row>
    <row r="545" spans="1:11">
      <c r="A545" t="s">
        <v>76</v>
      </c>
      <c r="B545" t="s">
        <v>1185</v>
      </c>
      <c r="C545" t="s">
        <v>1186</v>
      </c>
      <c r="D545" s="96">
        <f>Prices!$D$84</f>
        <v>131.73076923076923</v>
      </c>
      <c r="F545">
        <v>4.92</v>
      </c>
      <c r="G545" t="s">
        <v>1187</v>
      </c>
      <c r="H545" t="s">
        <v>12</v>
      </c>
      <c r="I545" t="s">
        <v>1186</v>
      </c>
      <c r="J545" t="s">
        <v>940</v>
      </c>
      <c r="K545" t="s">
        <v>965</v>
      </c>
    </row>
    <row r="546" spans="1:11">
      <c r="A546" t="s">
        <v>76</v>
      </c>
      <c r="B546" t="s">
        <v>1188</v>
      </c>
      <c r="C546" t="s">
        <v>1189</v>
      </c>
      <c r="D546" s="96">
        <f>Prices!$D$84</f>
        <v>131.73076923076923</v>
      </c>
      <c r="F546">
        <v>57.81</v>
      </c>
      <c r="G546" t="s">
        <v>1190</v>
      </c>
      <c r="H546" t="s">
        <v>12</v>
      </c>
      <c r="I546" t="s">
        <v>1189</v>
      </c>
      <c r="J546" t="s">
        <v>940</v>
      </c>
      <c r="K546" t="s">
        <v>1191</v>
      </c>
    </row>
    <row r="547" spans="1:11">
      <c r="A547" t="s">
        <v>76</v>
      </c>
      <c r="B547" t="s">
        <v>1108</v>
      </c>
      <c r="C547" t="s">
        <v>1109</v>
      </c>
      <c r="D547" s="96">
        <f>Prices!$D$84</f>
        <v>131.73076923076923</v>
      </c>
      <c r="F547">
        <v>0</v>
      </c>
      <c r="G547" t="s">
        <v>1110</v>
      </c>
      <c r="I547" t="s">
        <v>1109</v>
      </c>
      <c r="J547" t="s">
        <v>940</v>
      </c>
      <c r="K547" t="s">
        <v>941</v>
      </c>
    </row>
    <row r="548" spans="1:11">
      <c r="A548" t="s">
        <v>76</v>
      </c>
      <c r="B548" t="s">
        <v>1570</v>
      </c>
      <c r="C548" t="s">
        <v>1149</v>
      </c>
      <c r="D548" s="96">
        <f>Prices!$D$84</f>
        <v>131.73076923076923</v>
      </c>
      <c r="F548">
        <v>0.03</v>
      </c>
      <c r="G548" t="s">
        <v>1150</v>
      </c>
      <c r="H548" t="s">
        <v>12</v>
      </c>
      <c r="I548" t="s">
        <v>1149</v>
      </c>
      <c r="J548" t="s">
        <v>940</v>
      </c>
    </row>
    <row r="549" spans="1:11">
      <c r="A549" t="s">
        <v>447</v>
      </c>
      <c r="B549" t="s">
        <v>948</v>
      </c>
      <c r="C549" t="s">
        <v>949</v>
      </c>
      <c r="D549" s="96">
        <f>Prices!$D$84</f>
        <v>131.73076923076923</v>
      </c>
      <c r="F549">
        <v>0</v>
      </c>
      <c r="G549" t="s">
        <v>950</v>
      </c>
      <c r="I549" t="s">
        <v>949</v>
      </c>
      <c r="J549" t="s">
        <v>940</v>
      </c>
      <c r="K549" t="s">
        <v>951</v>
      </c>
    </row>
    <row r="550" spans="1:11">
      <c r="A550" t="s">
        <v>76</v>
      </c>
      <c r="B550" t="s">
        <v>1229</v>
      </c>
      <c r="C550" t="s">
        <v>1230</v>
      </c>
      <c r="D550" s="96">
        <f>Prices!$D$84</f>
        <v>131.73076923076923</v>
      </c>
      <c r="F550">
        <v>30.18</v>
      </c>
      <c r="G550" t="s">
        <v>1231</v>
      </c>
      <c r="H550" t="s">
        <v>12</v>
      </c>
      <c r="I550" t="s">
        <v>1230</v>
      </c>
      <c r="J550" t="s">
        <v>940</v>
      </c>
      <c r="K550" t="s">
        <v>1232</v>
      </c>
    </row>
    <row r="551" spans="1:11">
      <c r="A551" t="s">
        <v>158</v>
      </c>
      <c r="B551" t="s">
        <v>1518</v>
      </c>
      <c r="C551" t="s">
        <v>1519</v>
      </c>
      <c r="D551" s="96">
        <f>Prices!$D$84</f>
        <v>131.73076923076923</v>
      </c>
      <c r="F551">
        <v>0</v>
      </c>
      <c r="G551" t="s">
        <v>1520</v>
      </c>
      <c r="I551" t="s">
        <v>1519</v>
      </c>
      <c r="J551" t="s">
        <v>940</v>
      </c>
      <c r="K551" t="s">
        <v>988</v>
      </c>
    </row>
    <row r="552" spans="1:11">
      <c r="A552" t="s">
        <v>76</v>
      </c>
      <c r="B552" t="s">
        <v>1482</v>
      </c>
      <c r="C552" t="s">
        <v>1483</v>
      </c>
      <c r="D552" s="96">
        <f>Prices!$D$84</f>
        <v>131.73076923076923</v>
      </c>
      <c r="F552">
        <v>315.8</v>
      </c>
      <c r="G552" t="s">
        <v>1484</v>
      </c>
      <c r="H552" t="s">
        <v>12</v>
      </c>
      <c r="I552" t="s">
        <v>1483</v>
      </c>
      <c r="J552" t="s">
        <v>940</v>
      </c>
    </row>
    <row r="553" spans="1:11">
      <c r="A553" t="s">
        <v>76</v>
      </c>
      <c r="B553" t="s">
        <v>1300</v>
      </c>
      <c r="C553" t="s">
        <v>1301</v>
      </c>
      <c r="D553" s="96">
        <f>Prices!$D$84</f>
        <v>131.73076923076923</v>
      </c>
      <c r="F553">
        <v>15.4</v>
      </c>
      <c r="G553" t="s">
        <v>1302</v>
      </c>
      <c r="H553" t="s">
        <v>12</v>
      </c>
      <c r="I553" t="s">
        <v>1301</v>
      </c>
      <c r="J553" t="s">
        <v>940</v>
      </c>
      <c r="K553" t="s">
        <v>1303</v>
      </c>
    </row>
    <row r="554" spans="1:11">
      <c r="A554" t="s">
        <v>76</v>
      </c>
      <c r="B554" t="s">
        <v>1082</v>
      </c>
      <c r="C554" t="s">
        <v>1083</v>
      </c>
      <c r="D554" s="96">
        <f>Prices!$D$84</f>
        <v>131.73076923076923</v>
      </c>
      <c r="F554">
        <v>0.93</v>
      </c>
      <c r="G554" t="s">
        <v>1084</v>
      </c>
      <c r="H554" t="s">
        <v>12</v>
      </c>
      <c r="I554" t="s">
        <v>1083</v>
      </c>
      <c r="J554" t="s">
        <v>940</v>
      </c>
      <c r="K554" t="s">
        <v>965</v>
      </c>
    </row>
    <row r="555" spans="1:11">
      <c r="A555" t="s">
        <v>76</v>
      </c>
      <c r="B555" t="s">
        <v>1307</v>
      </c>
      <c r="C555" t="s">
        <v>1308</v>
      </c>
      <c r="D555" s="96">
        <f>Prices!$D$84</f>
        <v>131.73076923076923</v>
      </c>
      <c r="F555">
        <v>34.909999999999997</v>
      </c>
      <c r="G555" t="s">
        <v>1309</v>
      </c>
      <c r="H555" t="s">
        <v>12</v>
      </c>
      <c r="I555" t="s">
        <v>1308</v>
      </c>
      <c r="J555" t="s">
        <v>940</v>
      </c>
      <c r="K555" t="s">
        <v>1310</v>
      </c>
    </row>
    <row r="556" spans="1:11">
      <c r="A556" t="s">
        <v>76</v>
      </c>
      <c r="B556" t="s">
        <v>1427</v>
      </c>
      <c r="C556" t="s">
        <v>1428</v>
      </c>
      <c r="D556" s="96">
        <f>Prices!$D$84</f>
        <v>131.73076923076923</v>
      </c>
      <c r="F556">
        <v>3.7</v>
      </c>
      <c r="G556" t="s">
        <v>1429</v>
      </c>
      <c r="H556" t="s">
        <v>12</v>
      </c>
      <c r="I556" t="s">
        <v>1428</v>
      </c>
      <c r="J556" t="s">
        <v>940</v>
      </c>
      <c r="K556" t="s">
        <v>941</v>
      </c>
    </row>
    <row r="557" spans="1:11">
      <c r="A557" t="s">
        <v>76</v>
      </c>
      <c r="B557" t="s">
        <v>1311</v>
      </c>
      <c r="C557" t="s">
        <v>1312</v>
      </c>
      <c r="D557" s="96">
        <f>Prices!$D$84</f>
        <v>131.73076923076923</v>
      </c>
      <c r="F557">
        <v>23.75</v>
      </c>
      <c r="G557" t="s">
        <v>1313</v>
      </c>
      <c r="H557" t="s">
        <v>12</v>
      </c>
      <c r="I557" t="s">
        <v>1312</v>
      </c>
      <c r="J557" t="s">
        <v>940</v>
      </c>
      <c r="K557" t="s">
        <v>1314</v>
      </c>
    </row>
    <row r="558" spans="1:11">
      <c r="A558" t="s">
        <v>76</v>
      </c>
      <c r="B558" t="s">
        <v>1460</v>
      </c>
      <c r="C558" t="s">
        <v>1461</v>
      </c>
      <c r="D558" s="96">
        <f>Prices!$D$84</f>
        <v>131.73076923076923</v>
      </c>
      <c r="F558">
        <v>2.86</v>
      </c>
      <c r="G558" t="s">
        <v>1462</v>
      </c>
      <c r="H558" t="s">
        <v>12</v>
      </c>
      <c r="I558" t="s">
        <v>1461</v>
      </c>
      <c r="J558" t="s">
        <v>940</v>
      </c>
      <c r="K558" t="s">
        <v>965</v>
      </c>
    </row>
    <row r="559" spans="1:11">
      <c r="A559" t="s">
        <v>76</v>
      </c>
      <c r="B559" t="s">
        <v>1276</v>
      </c>
      <c r="C559" t="s">
        <v>1277</v>
      </c>
      <c r="D559" s="96">
        <f>Prices!$D$84</f>
        <v>131.73076923076923</v>
      </c>
      <c r="F559">
        <v>17.97</v>
      </c>
      <c r="G559" t="s">
        <v>1278</v>
      </c>
      <c r="H559" t="s">
        <v>12</v>
      </c>
      <c r="I559" t="s">
        <v>1277</v>
      </c>
      <c r="J559" t="s">
        <v>940</v>
      </c>
      <c r="K559" t="s">
        <v>1279</v>
      </c>
    </row>
    <row r="560" spans="1:11">
      <c r="A560" t="s">
        <v>76</v>
      </c>
      <c r="B560" t="s">
        <v>1412</v>
      </c>
      <c r="C560" t="s">
        <v>1413</v>
      </c>
      <c r="D560" s="96">
        <f>Prices!$D$84</f>
        <v>131.73076923076923</v>
      </c>
      <c r="F560">
        <v>0</v>
      </c>
      <c r="G560" t="s">
        <v>1414</v>
      </c>
      <c r="I560" t="s">
        <v>1413</v>
      </c>
      <c r="J560" t="s">
        <v>940</v>
      </c>
      <c r="K560" t="s">
        <v>941</v>
      </c>
    </row>
    <row r="561" spans="1:11">
      <c r="A561" t="s">
        <v>76</v>
      </c>
      <c r="B561" t="s">
        <v>1196</v>
      </c>
      <c r="C561" t="s">
        <v>1197</v>
      </c>
      <c r="D561" s="96">
        <f>Prices!$D$84</f>
        <v>131.73076923076923</v>
      </c>
      <c r="F561">
        <v>164.38</v>
      </c>
      <c r="G561" t="s">
        <v>1198</v>
      </c>
      <c r="H561" t="s">
        <v>12</v>
      </c>
      <c r="I561" t="s">
        <v>1197</v>
      </c>
      <c r="J561" t="s">
        <v>940</v>
      </c>
      <c r="K561" t="s">
        <v>1199</v>
      </c>
    </row>
    <row r="562" spans="1:11">
      <c r="A562" t="s">
        <v>76</v>
      </c>
      <c r="B562" t="s">
        <v>937</v>
      </c>
      <c r="C562" t="s">
        <v>938</v>
      </c>
      <c r="D562" s="96">
        <f>Prices!$D$84</f>
        <v>131.73076923076923</v>
      </c>
      <c r="F562">
        <v>493</v>
      </c>
      <c r="G562" t="s">
        <v>939</v>
      </c>
      <c r="H562" t="s">
        <v>12</v>
      </c>
      <c r="I562" t="s">
        <v>938</v>
      </c>
      <c r="J562" t="s">
        <v>940</v>
      </c>
      <c r="K562" t="s">
        <v>941</v>
      </c>
    </row>
    <row r="563" spans="1:11">
      <c r="A563" t="s">
        <v>76</v>
      </c>
      <c r="B563" t="s">
        <v>1320</v>
      </c>
      <c r="C563" t="s">
        <v>1321</v>
      </c>
      <c r="D563" s="96">
        <f>Prices!$D$84</f>
        <v>131.73076923076923</v>
      </c>
      <c r="F563">
        <v>34.54</v>
      </c>
      <c r="G563" t="s">
        <v>1322</v>
      </c>
      <c r="H563" t="s">
        <v>12</v>
      </c>
      <c r="I563" t="s">
        <v>1321</v>
      </c>
      <c r="J563" t="s">
        <v>940</v>
      </c>
      <c r="K563" t="s">
        <v>1323</v>
      </c>
    </row>
    <row r="564" spans="1:11">
      <c r="A564" t="s">
        <v>76</v>
      </c>
      <c r="B564" t="s">
        <v>1585</v>
      </c>
      <c r="C564" t="s">
        <v>1586</v>
      </c>
      <c r="D564" s="96">
        <f>Prices!$D$84</f>
        <v>131.73076923076923</v>
      </c>
      <c r="F564">
        <v>0</v>
      </c>
      <c r="G564" t="s">
        <v>1587</v>
      </c>
      <c r="I564" t="s">
        <v>1586</v>
      </c>
      <c r="J564" t="s">
        <v>940</v>
      </c>
      <c r="K564" t="s">
        <v>941</v>
      </c>
    </row>
    <row r="565" spans="1:11">
      <c r="A565" t="s">
        <v>76</v>
      </c>
      <c r="B565" t="s">
        <v>1059</v>
      </c>
      <c r="C565" t="s">
        <v>1060</v>
      </c>
      <c r="D565" s="96">
        <f>Prices!$D$84</f>
        <v>131.73076923076923</v>
      </c>
      <c r="F565">
        <v>4.6500000000000004</v>
      </c>
      <c r="G565" t="s">
        <v>1061</v>
      </c>
      <c r="H565" t="s">
        <v>12</v>
      </c>
      <c r="I565" t="s">
        <v>1060</v>
      </c>
      <c r="J565" t="s">
        <v>940</v>
      </c>
    </row>
    <row r="566" spans="1:11">
      <c r="A566" t="s">
        <v>76</v>
      </c>
      <c r="B566" t="s">
        <v>1574</v>
      </c>
      <c r="C566" t="s">
        <v>1575</v>
      </c>
      <c r="D566" s="96">
        <f>Prices!$D$84</f>
        <v>131.73076923076923</v>
      </c>
      <c r="F566">
        <v>0</v>
      </c>
      <c r="G566" t="s">
        <v>1576</v>
      </c>
      <c r="I566" t="s">
        <v>1575</v>
      </c>
      <c r="J566" t="s">
        <v>940</v>
      </c>
      <c r="K566" t="s">
        <v>965</v>
      </c>
    </row>
    <row r="567" spans="1:11">
      <c r="A567" t="s">
        <v>76</v>
      </c>
      <c r="B567" t="s">
        <v>1324</v>
      </c>
      <c r="C567" t="s">
        <v>1325</v>
      </c>
      <c r="D567" s="96">
        <f>Prices!$D$84</f>
        <v>131.73076923076923</v>
      </c>
      <c r="F567">
        <v>39.65</v>
      </c>
      <c r="G567" t="s">
        <v>1326</v>
      </c>
      <c r="H567" t="s">
        <v>12</v>
      </c>
      <c r="I567" t="s">
        <v>1325</v>
      </c>
      <c r="J567" t="s">
        <v>940</v>
      </c>
      <c r="K567" t="s">
        <v>1018</v>
      </c>
    </row>
    <row r="568" spans="1:11">
      <c r="A568" t="s">
        <v>76</v>
      </c>
      <c r="B568" t="s">
        <v>1015</v>
      </c>
      <c r="C568" t="s">
        <v>1016</v>
      </c>
      <c r="D568" s="96">
        <f>Prices!$D$84</f>
        <v>131.73076923076923</v>
      </c>
      <c r="F568">
        <v>38.71</v>
      </c>
      <c r="G568" t="s">
        <v>1017</v>
      </c>
      <c r="H568" t="s">
        <v>12</v>
      </c>
      <c r="I568" t="s">
        <v>1016</v>
      </c>
      <c r="J568" t="s">
        <v>940</v>
      </c>
      <c r="K568" t="s">
        <v>1018</v>
      </c>
    </row>
    <row r="569" spans="1:11">
      <c r="A569" t="s">
        <v>76</v>
      </c>
      <c r="B569" t="s">
        <v>1233</v>
      </c>
      <c r="C569" t="s">
        <v>1234</v>
      </c>
      <c r="D569" s="96">
        <f>Prices!$D$84</f>
        <v>131.73076923076923</v>
      </c>
      <c r="F569">
        <v>16.13</v>
      </c>
      <c r="G569" t="s">
        <v>1235</v>
      </c>
      <c r="H569" t="s">
        <v>12</v>
      </c>
      <c r="I569" t="s">
        <v>1234</v>
      </c>
      <c r="J569" t="s">
        <v>940</v>
      </c>
      <c r="K569" t="s">
        <v>1236</v>
      </c>
    </row>
    <row r="570" spans="1:11">
      <c r="A570" t="s">
        <v>76</v>
      </c>
      <c r="B570" t="s">
        <v>1192</v>
      </c>
      <c r="C570" t="s">
        <v>1193</v>
      </c>
      <c r="D570" s="96">
        <f>Prices!$D$84</f>
        <v>131.73076923076923</v>
      </c>
      <c r="F570">
        <v>59.98</v>
      </c>
      <c r="G570" t="s">
        <v>1194</v>
      </c>
      <c r="H570" t="s">
        <v>12</v>
      </c>
      <c r="I570" t="s">
        <v>1193</v>
      </c>
      <c r="J570" t="s">
        <v>940</v>
      </c>
      <c r="K570" t="s">
        <v>1195</v>
      </c>
    </row>
    <row r="571" spans="1:11">
      <c r="A571" t="s">
        <v>76</v>
      </c>
      <c r="B571" t="s">
        <v>1327</v>
      </c>
      <c r="C571" t="s">
        <v>1328</v>
      </c>
      <c r="D571" s="96">
        <f>Prices!$D$84</f>
        <v>131.73076923076923</v>
      </c>
      <c r="F571">
        <v>1.57</v>
      </c>
      <c r="G571" t="s">
        <v>1329</v>
      </c>
      <c r="H571" t="s">
        <v>12</v>
      </c>
      <c r="I571" t="s">
        <v>1328</v>
      </c>
      <c r="J571" t="s">
        <v>940</v>
      </c>
      <c r="K571" t="s">
        <v>1330</v>
      </c>
    </row>
    <row r="572" spans="1:11">
      <c r="A572" t="s">
        <v>76</v>
      </c>
      <c r="B572" t="s">
        <v>1280</v>
      </c>
      <c r="C572" t="s">
        <v>1281</v>
      </c>
      <c r="D572" s="96">
        <f>Prices!$D$84</f>
        <v>131.73076923076923</v>
      </c>
      <c r="F572">
        <v>52.41</v>
      </c>
      <c r="G572" t="s">
        <v>1282</v>
      </c>
      <c r="H572" t="s">
        <v>12</v>
      </c>
      <c r="I572" t="s">
        <v>1281</v>
      </c>
      <c r="J572" t="s">
        <v>940</v>
      </c>
      <c r="K572" t="s">
        <v>1283</v>
      </c>
    </row>
    <row r="573" spans="1:11">
      <c r="A573" t="s">
        <v>76</v>
      </c>
      <c r="B573" t="s">
        <v>1409</v>
      </c>
      <c r="C573" t="s">
        <v>1410</v>
      </c>
      <c r="D573" s="96">
        <f>Prices!$D$84</f>
        <v>131.73076923076923</v>
      </c>
      <c r="F573">
        <v>4.4800000000000004</v>
      </c>
      <c r="G573" t="s">
        <v>1411</v>
      </c>
      <c r="H573" t="s">
        <v>12</v>
      </c>
      <c r="I573" t="s">
        <v>1410</v>
      </c>
      <c r="J573" t="s">
        <v>940</v>
      </c>
      <c r="K573" t="s">
        <v>941</v>
      </c>
    </row>
    <row r="574" spans="1:11">
      <c r="A574" t="s">
        <v>76</v>
      </c>
      <c r="B574" t="s">
        <v>1203</v>
      </c>
      <c r="C574" t="s">
        <v>1204</v>
      </c>
      <c r="D574" s="96">
        <f>Prices!$D$84</f>
        <v>131.73076923076923</v>
      </c>
      <c r="F574">
        <v>154.36000000000001</v>
      </c>
      <c r="G574" t="s">
        <v>1205</v>
      </c>
      <c r="H574" t="s">
        <v>12</v>
      </c>
      <c r="I574" t="s">
        <v>1204</v>
      </c>
      <c r="J574" t="s">
        <v>940</v>
      </c>
      <c r="K574" t="s">
        <v>1206</v>
      </c>
    </row>
    <row r="575" spans="1:11">
      <c r="A575" t="s">
        <v>76</v>
      </c>
      <c r="B575" t="s">
        <v>1370</v>
      </c>
      <c r="C575" t="s">
        <v>1371</v>
      </c>
      <c r="D575" s="96">
        <f>Prices!$D$84</f>
        <v>131.73076923076923</v>
      </c>
      <c r="F575">
        <v>16.5</v>
      </c>
      <c r="G575" t="s">
        <v>1372</v>
      </c>
      <c r="H575" t="s">
        <v>12</v>
      </c>
      <c r="I575" t="s">
        <v>1371</v>
      </c>
      <c r="J575" t="s">
        <v>940</v>
      </c>
      <c r="K575" t="s">
        <v>1373</v>
      </c>
    </row>
    <row r="576" spans="1:11">
      <c r="A576" t="s">
        <v>48</v>
      </c>
      <c r="B576" t="s">
        <v>952</v>
      </c>
      <c r="C576" t="s">
        <v>953</v>
      </c>
      <c r="D576" s="96">
        <f>Prices!$D$84</f>
        <v>131.73076923076923</v>
      </c>
      <c r="F576">
        <v>20.75</v>
      </c>
      <c r="G576" t="s">
        <v>954</v>
      </c>
      <c r="H576" t="s">
        <v>12</v>
      </c>
      <c r="I576" t="s">
        <v>953</v>
      </c>
      <c r="J576" t="s">
        <v>940</v>
      </c>
      <c r="K576" t="s">
        <v>955</v>
      </c>
    </row>
    <row r="577" spans="1:11">
      <c r="A577" t="s">
        <v>76</v>
      </c>
      <c r="B577" t="s">
        <v>1211</v>
      </c>
      <c r="C577" t="s">
        <v>1212</v>
      </c>
      <c r="D577" s="96">
        <f>Prices!$D$84</f>
        <v>131.73076923076923</v>
      </c>
      <c r="F577">
        <v>67.69</v>
      </c>
      <c r="G577" t="s">
        <v>1213</v>
      </c>
      <c r="H577" t="s">
        <v>12</v>
      </c>
      <c r="I577" t="s">
        <v>1212</v>
      </c>
      <c r="J577" t="s">
        <v>940</v>
      </c>
      <c r="K577" t="s">
        <v>965</v>
      </c>
    </row>
    <row r="578" spans="1:11">
      <c r="A578" t="s">
        <v>76</v>
      </c>
      <c r="B578" t="s">
        <v>1284</v>
      </c>
      <c r="C578" t="s">
        <v>1285</v>
      </c>
      <c r="D578" s="96">
        <f>Prices!$D$84</f>
        <v>131.73076923076923</v>
      </c>
      <c r="F578">
        <v>35.35</v>
      </c>
      <c r="G578" t="s">
        <v>1286</v>
      </c>
      <c r="H578" t="s">
        <v>12</v>
      </c>
      <c r="I578" t="s">
        <v>1285</v>
      </c>
      <c r="J578" t="s">
        <v>940</v>
      </c>
      <c r="K578" t="s">
        <v>1287</v>
      </c>
    </row>
    <row r="579" spans="1:11">
      <c r="A579" t="s">
        <v>76</v>
      </c>
      <c r="B579" t="s">
        <v>1415</v>
      </c>
      <c r="C579" t="s">
        <v>1416</v>
      </c>
      <c r="D579" s="96">
        <f>Prices!$D$84</f>
        <v>131.73076923076923</v>
      </c>
      <c r="F579">
        <v>30.48</v>
      </c>
      <c r="G579" t="s">
        <v>1417</v>
      </c>
      <c r="H579" t="s">
        <v>12</v>
      </c>
      <c r="I579" t="s">
        <v>1416</v>
      </c>
      <c r="J579" t="s">
        <v>940</v>
      </c>
      <c r="K579" t="s">
        <v>1418</v>
      </c>
    </row>
    <row r="580" spans="1:11">
      <c r="A580" t="s">
        <v>76</v>
      </c>
      <c r="B580" t="s">
        <v>1207</v>
      </c>
      <c r="C580" t="s">
        <v>1208</v>
      </c>
      <c r="D580" s="96">
        <f>Prices!$D$84</f>
        <v>131.73076923076923</v>
      </c>
      <c r="F580">
        <v>9.41</v>
      </c>
      <c r="G580" t="s">
        <v>1209</v>
      </c>
      <c r="H580" t="s">
        <v>12</v>
      </c>
      <c r="I580" t="s">
        <v>1208</v>
      </c>
      <c r="J580" t="s">
        <v>940</v>
      </c>
      <c r="K580" t="s">
        <v>1210</v>
      </c>
    </row>
    <row r="581" spans="1:11">
      <c r="A581" t="s">
        <v>76</v>
      </c>
      <c r="B581" t="s">
        <v>1374</v>
      </c>
      <c r="C581" t="s">
        <v>1375</v>
      </c>
      <c r="D581" s="96">
        <f>Prices!$D$84</f>
        <v>131.73076923076923</v>
      </c>
      <c r="F581">
        <v>4.37</v>
      </c>
      <c r="G581" t="s">
        <v>1376</v>
      </c>
      <c r="H581" t="s">
        <v>12</v>
      </c>
      <c r="I581" t="s">
        <v>1375</v>
      </c>
      <c r="J581" t="s">
        <v>940</v>
      </c>
      <c r="K581" t="s">
        <v>1377</v>
      </c>
    </row>
    <row r="582" spans="1:11">
      <c r="A582" t="s">
        <v>76</v>
      </c>
      <c r="B582" t="s">
        <v>1288</v>
      </c>
      <c r="C582" t="s">
        <v>1289</v>
      </c>
      <c r="D582" s="96">
        <f>Prices!$D$84</f>
        <v>131.73076923076923</v>
      </c>
      <c r="F582">
        <v>137.09</v>
      </c>
      <c r="G582" t="s">
        <v>1290</v>
      </c>
      <c r="H582" t="s">
        <v>12</v>
      </c>
      <c r="I582" t="s">
        <v>1289</v>
      </c>
      <c r="J582" t="s">
        <v>940</v>
      </c>
      <c r="K582" t="s">
        <v>1291</v>
      </c>
    </row>
    <row r="583" spans="1:11">
      <c r="A583" t="s">
        <v>76</v>
      </c>
      <c r="B583" t="s">
        <v>1419</v>
      </c>
      <c r="C583" t="s">
        <v>1420</v>
      </c>
      <c r="D583" s="96">
        <f>Prices!$D$84</f>
        <v>131.73076923076923</v>
      </c>
      <c r="F583">
        <v>98.72</v>
      </c>
      <c r="G583" t="s">
        <v>1421</v>
      </c>
      <c r="H583" t="s">
        <v>12</v>
      </c>
      <c r="I583" t="s">
        <v>1420</v>
      </c>
      <c r="J583" t="s">
        <v>940</v>
      </c>
      <c r="K583" t="s">
        <v>1422</v>
      </c>
    </row>
    <row r="584" spans="1:11">
      <c r="A584" t="s">
        <v>76</v>
      </c>
      <c r="B584" t="s">
        <v>1217</v>
      </c>
      <c r="C584" t="s">
        <v>1218</v>
      </c>
      <c r="D584" s="96">
        <f>Prices!$D$84</f>
        <v>131.73076923076923</v>
      </c>
      <c r="F584">
        <v>245.7</v>
      </c>
      <c r="G584" t="s">
        <v>1219</v>
      </c>
      <c r="H584" t="s">
        <v>12</v>
      </c>
      <c r="I584" t="s">
        <v>1218</v>
      </c>
      <c r="J584" t="s">
        <v>940</v>
      </c>
      <c r="K584" t="s">
        <v>1220</v>
      </c>
    </row>
    <row r="585" spans="1:11">
      <c r="A585" t="s">
        <v>76</v>
      </c>
      <c r="B585" t="s">
        <v>1378</v>
      </c>
      <c r="C585" t="s">
        <v>1379</v>
      </c>
      <c r="D585" s="96">
        <f>Prices!$D$84</f>
        <v>131.73076923076923</v>
      </c>
      <c r="F585">
        <v>6.16</v>
      </c>
      <c r="G585" t="s">
        <v>1380</v>
      </c>
      <c r="H585" t="s">
        <v>12</v>
      </c>
      <c r="I585" t="s">
        <v>1379</v>
      </c>
      <c r="J585" t="s">
        <v>940</v>
      </c>
      <c r="K585" t="s">
        <v>941</v>
      </c>
    </row>
    <row r="586" spans="1:11">
      <c r="A586" t="s">
        <v>158</v>
      </c>
      <c r="B586" t="s">
        <v>1381</v>
      </c>
      <c r="C586" t="s">
        <v>1382</v>
      </c>
      <c r="D586" s="96">
        <f>Prices!$D$84</f>
        <v>131.73076923076923</v>
      </c>
      <c r="F586">
        <v>0</v>
      </c>
      <c r="G586" t="s">
        <v>1383</v>
      </c>
      <c r="I586" t="s">
        <v>1382</v>
      </c>
      <c r="J586" t="s">
        <v>940</v>
      </c>
      <c r="K586" t="s">
        <v>988</v>
      </c>
    </row>
    <row r="587" spans="1:11">
      <c r="A587" t="s">
        <v>76</v>
      </c>
      <c r="B587" t="s">
        <v>1292</v>
      </c>
      <c r="C587" t="s">
        <v>1293</v>
      </c>
      <c r="D587" s="96">
        <f>Prices!$D$84</f>
        <v>131.73076923076923</v>
      </c>
      <c r="F587">
        <v>79.66</v>
      </c>
      <c r="G587" t="s">
        <v>1294</v>
      </c>
      <c r="H587" t="s">
        <v>12</v>
      </c>
      <c r="I587" t="s">
        <v>1293</v>
      </c>
      <c r="J587" t="s">
        <v>940</v>
      </c>
      <c r="K587" t="s">
        <v>1295</v>
      </c>
    </row>
    <row r="588" spans="1:11">
      <c r="A588" t="s">
        <v>447</v>
      </c>
      <c r="B588" t="s">
        <v>1004</v>
      </c>
      <c r="C588" t="s">
        <v>1005</v>
      </c>
      <c r="D588" s="96">
        <f>Prices!$D$84</f>
        <v>131.73076923076923</v>
      </c>
      <c r="F588">
        <v>0</v>
      </c>
      <c r="G588" t="s">
        <v>1006</v>
      </c>
      <c r="I588" t="s">
        <v>1005</v>
      </c>
      <c r="J588" t="s">
        <v>940</v>
      </c>
      <c r="K588" t="s">
        <v>1007</v>
      </c>
    </row>
    <row r="589" spans="1:11">
      <c r="A589" t="s">
        <v>76</v>
      </c>
      <c r="B589" t="s">
        <v>1221</v>
      </c>
      <c r="C589" t="s">
        <v>1222</v>
      </c>
      <c r="D589" s="96">
        <f>Prices!$D$84</f>
        <v>131.73076923076923</v>
      </c>
      <c r="F589">
        <v>87.83</v>
      </c>
      <c r="G589" t="s">
        <v>1223</v>
      </c>
      <c r="H589" t="s">
        <v>12</v>
      </c>
      <c r="I589" t="s">
        <v>1222</v>
      </c>
      <c r="J589" t="s">
        <v>940</v>
      </c>
      <c r="K589" t="s">
        <v>1224</v>
      </c>
    </row>
    <row r="590" spans="1:11">
      <c r="A590" t="s">
        <v>76</v>
      </c>
      <c r="B590" t="s">
        <v>1402</v>
      </c>
      <c r="C590" t="s">
        <v>1403</v>
      </c>
      <c r="D590" s="96">
        <f>Prices!$D$84</f>
        <v>131.73076923076923</v>
      </c>
      <c r="F590">
        <v>0.56999999999999995</v>
      </c>
      <c r="G590" t="s">
        <v>1404</v>
      </c>
      <c r="H590" t="s">
        <v>12</v>
      </c>
      <c r="I590" t="s">
        <v>1403</v>
      </c>
      <c r="J590" t="s">
        <v>940</v>
      </c>
      <c r="K590" t="s">
        <v>941</v>
      </c>
    </row>
    <row r="591" spans="1:11">
      <c r="A591" t="s">
        <v>76</v>
      </c>
      <c r="B591" t="s">
        <v>1296</v>
      </c>
      <c r="C591" t="s">
        <v>1297</v>
      </c>
      <c r="D591" s="96">
        <f>Prices!$D$84</f>
        <v>131.73076923076923</v>
      </c>
      <c r="F591">
        <v>139.85</v>
      </c>
      <c r="G591" t="s">
        <v>1298</v>
      </c>
      <c r="H591" t="s">
        <v>12</v>
      </c>
      <c r="I591" t="s">
        <v>1297</v>
      </c>
      <c r="J591" t="s">
        <v>940</v>
      </c>
      <c r="K591" t="s">
        <v>1299</v>
      </c>
    </row>
    <row r="592" spans="1:11">
      <c r="A592" t="s">
        <v>76</v>
      </c>
      <c r="B592" t="s">
        <v>1423</v>
      </c>
      <c r="C592" t="s">
        <v>1424</v>
      </c>
      <c r="D592" s="96">
        <f>Prices!$D$84</f>
        <v>131.73076923076923</v>
      </c>
      <c r="F592">
        <v>42.9</v>
      </c>
      <c r="G592" t="s">
        <v>1425</v>
      </c>
      <c r="H592" t="s">
        <v>12</v>
      </c>
      <c r="I592" t="s">
        <v>1424</v>
      </c>
      <c r="J592" t="s">
        <v>940</v>
      </c>
      <c r="K592" t="s">
        <v>1426</v>
      </c>
    </row>
    <row r="593" spans="1:11">
      <c r="A593" t="s">
        <v>76</v>
      </c>
      <c r="B593" t="s">
        <v>1225</v>
      </c>
      <c r="C593" t="s">
        <v>1226</v>
      </c>
      <c r="D593" s="96">
        <f>Prices!$D$84</f>
        <v>131.73076923076923</v>
      </c>
      <c r="F593">
        <v>6.31</v>
      </c>
      <c r="G593" t="s">
        <v>1227</v>
      </c>
      <c r="H593" t="s">
        <v>12</v>
      </c>
      <c r="I593" t="s">
        <v>1226</v>
      </c>
      <c r="J593" t="s">
        <v>940</v>
      </c>
      <c r="K593" t="s">
        <v>1228</v>
      </c>
    </row>
    <row r="594" spans="1:11">
      <c r="A594" t="s">
        <v>76</v>
      </c>
      <c r="B594" t="s">
        <v>1405</v>
      </c>
      <c r="C594" t="s">
        <v>1406</v>
      </c>
      <c r="D594" s="96">
        <f>Prices!$D$84</f>
        <v>131.73076923076923</v>
      </c>
      <c r="F594">
        <v>538.74</v>
      </c>
      <c r="G594" t="s">
        <v>1407</v>
      </c>
      <c r="H594" t="s">
        <v>12</v>
      </c>
      <c r="I594" t="s">
        <v>1406</v>
      </c>
      <c r="J594" t="s">
        <v>940</v>
      </c>
      <c r="K594" t="s">
        <v>1408</v>
      </c>
    </row>
    <row r="595" spans="1:11">
      <c r="A595" t="s">
        <v>76</v>
      </c>
      <c r="B595" t="s">
        <v>475</v>
      </c>
      <c r="C595" t="s">
        <v>476</v>
      </c>
      <c r="D595" s="95">
        <f>Prices!$J$13</f>
        <v>188.40816326530611</v>
      </c>
      <c r="F595">
        <v>0</v>
      </c>
      <c r="G595" t="s">
        <v>477</v>
      </c>
      <c r="I595" t="s">
        <v>476</v>
      </c>
      <c r="J595" t="s">
        <v>13</v>
      </c>
      <c r="K595" t="s">
        <v>478</v>
      </c>
    </row>
    <row r="596" spans="1:11">
      <c r="A596" t="s">
        <v>76</v>
      </c>
      <c r="B596" t="s">
        <v>2218</v>
      </c>
      <c r="C596" t="s">
        <v>2219</v>
      </c>
      <c r="D596" s="95">
        <f>Prices!$J$13</f>
        <v>188.40816326530611</v>
      </c>
      <c r="F596">
        <v>5.36</v>
      </c>
      <c r="G596" t="s">
        <v>2220</v>
      </c>
      <c r="H596" t="s">
        <v>12</v>
      </c>
      <c r="I596" t="s">
        <v>2219</v>
      </c>
      <c r="J596" t="s">
        <v>1610</v>
      </c>
      <c r="K596" t="s">
        <v>2221</v>
      </c>
    </row>
    <row r="597" spans="1:11">
      <c r="A597" t="s">
        <v>76</v>
      </c>
      <c r="B597" t="s">
        <v>139</v>
      </c>
      <c r="C597" t="s">
        <v>140</v>
      </c>
      <c r="D597" s="95">
        <f>Prices!$J$13</f>
        <v>188.40816326530611</v>
      </c>
      <c r="F597">
        <v>0</v>
      </c>
      <c r="G597" t="s">
        <v>141</v>
      </c>
      <c r="I597" t="s">
        <v>140</v>
      </c>
      <c r="J597" t="s">
        <v>13</v>
      </c>
      <c r="K597" t="s">
        <v>142</v>
      </c>
    </row>
    <row r="598" spans="1:11">
      <c r="A598" t="s">
        <v>23</v>
      </c>
      <c r="B598" t="s">
        <v>1973</v>
      </c>
      <c r="C598" t="s">
        <v>1974</v>
      </c>
      <c r="D598" s="95">
        <f>Prices!$J$13</f>
        <v>188.40816326530611</v>
      </c>
      <c r="F598">
        <v>12.19</v>
      </c>
      <c r="G598" t="s">
        <v>2689</v>
      </c>
      <c r="H598" t="s">
        <v>12</v>
      </c>
      <c r="I598" t="s">
        <v>1974</v>
      </c>
      <c r="J598" t="s">
        <v>1610</v>
      </c>
      <c r="K598" t="s">
        <v>2690</v>
      </c>
    </row>
    <row r="599" spans="1:11">
      <c r="A599" t="s">
        <v>76</v>
      </c>
      <c r="B599" t="s">
        <v>507</v>
      </c>
      <c r="C599" t="s">
        <v>508</v>
      </c>
      <c r="D599" s="95">
        <f>Prices!$J$13</f>
        <v>188.40816326530611</v>
      </c>
      <c r="F599">
        <v>67.78</v>
      </c>
      <c r="G599" t="s">
        <v>509</v>
      </c>
      <c r="H599" t="s">
        <v>12</v>
      </c>
      <c r="I599" t="s">
        <v>508</v>
      </c>
      <c r="J599" t="s">
        <v>13</v>
      </c>
      <c r="K599" t="s">
        <v>510</v>
      </c>
    </row>
    <row r="600" spans="1:11">
      <c r="A600" t="s">
        <v>76</v>
      </c>
      <c r="B600" t="s">
        <v>1975</v>
      </c>
      <c r="C600" t="s">
        <v>1976</v>
      </c>
      <c r="D600" s="95">
        <f>Prices!$J$13</f>
        <v>188.40816326530611</v>
      </c>
      <c r="F600">
        <v>106.66</v>
      </c>
      <c r="G600" t="s">
        <v>1977</v>
      </c>
      <c r="H600" t="s">
        <v>12</v>
      </c>
      <c r="I600" t="s">
        <v>1976</v>
      </c>
      <c r="J600" t="s">
        <v>1610</v>
      </c>
      <c r="K600" t="s">
        <v>1978</v>
      </c>
    </row>
    <row r="601" spans="1:11">
      <c r="A601" t="s">
        <v>76</v>
      </c>
      <c r="B601" t="s">
        <v>511</v>
      </c>
      <c r="C601" t="s">
        <v>512</v>
      </c>
      <c r="D601" s="95">
        <f>Prices!$J$13</f>
        <v>188.40816326530611</v>
      </c>
      <c r="F601">
        <v>4.4800000000000004</v>
      </c>
      <c r="G601" t="s">
        <v>513</v>
      </c>
      <c r="H601" t="s">
        <v>12</v>
      </c>
      <c r="I601" t="s">
        <v>512</v>
      </c>
      <c r="J601" t="s">
        <v>13</v>
      </c>
      <c r="K601" t="s">
        <v>514</v>
      </c>
    </row>
    <row r="602" spans="1:11">
      <c r="A602" t="s">
        <v>76</v>
      </c>
      <c r="B602" t="s">
        <v>4728</v>
      </c>
      <c r="C602" t="s">
        <v>4729</v>
      </c>
      <c r="D602" s="95">
        <f>Prices!$J$13</f>
        <v>188.40816326530611</v>
      </c>
      <c r="F602">
        <v>7.18</v>
      </c>
      <c r="G602" t="s">
        <v>4730</v>
      </c>
      <c r="H602" t="s">
        <v>12</v>
      </c>
      <c r="I602" t="s">
        <v>4729</v>
      </c>
      <c r="J602" t="s">
        <v>1610</v>
      </c>
      <c r="K602" t="s">
        <v>4731</v>
      </c>
    </row>
    <row r="603" spans="1:11">
      <c r="A603" t="s">
        <v>76</v>
      </c>
      <c r="B603" t="s">
        <v>4724</v>
      </c>
      <c r="C603" t="s">
        <v>4725</v>
      </c>
      <c r="D603" s="95">
        <f>Prices!$J$13</f>
        <v>188.40816326530611</v>
      </c>
      <c r="F603">
        <v>81.61</v>
      </c>
      <c r="G603" t="s">
        <v>4726</v>
      </c>
      <c r="H603" t="s">
        <v>12</v>
      </c>
      <c r="I603" t="s">
        <v>4725</v>
      </c>
      <c r="J603" t="s">
        <v>1610</v>
      </c>
      <c r="K603" t="s">
        <v>4727</v>
      </c>
    </row>
    <row r="604" spans="1:11">
      <c r="A604" t="s">
        <v>76</v>
      </c>
      <c r="B604" t="s">
        <v>519</v>
      </c>
      <c r="C604" t="s">
        <v>520</v>
      </c>
      <c r="D604" s="95">
        <f>Prices!$J$13</f>
        <v>188.40816326530611</v>
      </c>
      <c r="F604">
        <v>112.84</v>
      </c>
      <c r="G604" t="s">
        <v>521</v>
      </c>
      <c r="H604" t="s">
        <v>12</v>
      </c>
      <c r="I604" t="s">
        <v>520</v>
      </c>
      <c r="J604" t="s">
        <v>13</v>
      </c>
      <c r="K604" t="s">
        <v>522</v>
      </c>
    </row>
    <row r="605" spans="1:11">
      <c r="A605" t="s">
        <v>76</v>
      </c>
      <c r="B605" t="s">
        <v>3264</v>
      </c>
      <c r="C605" t="s">
        <v>3265</v>
      </c>
      <c r="D605" s="95">
        <f>Prices!$J$13</f>
        <v>188.40816326530611</v>
      </c>
      <c r="F605">
        <v>0</v>
      </c>
      <c r="G605" t="s">
        <v>3266</v>
      </c>
      <c r="I605" t="s">
        <v>3265</v>
      </c>
      <c r="J605" t="s">
        <v>1610</v>
      </c>
      <c r="K605" t="s">
        <v>3267</v>
      </c>
    </row>
    <row r="606" spans="1:11">
      <c r="A606" t="s">
        <v>76</v>
      </c>
      <c r="B606" t="s">
        <v>2175</v>
      </c>
      <c r="C606" t="s">
        <v>2176</v>
      </c>
      <c r="D606" s="95">
        <f>Prices!$J$13</f>
        <v>188.40816326530611</v>
      </c>
      <c r="F606">
        <v>25.1</v>
      </c>
      <c r="G606" t="s">
        <v>2177</v>
      </c>
      <c r="H606" t="s">
        <v>12</v>
      </c>
      <c r="I606" t="s">
        <v>2176</v>
      </c>
      <c r="J606" t="s">
        <v>1610</v>
      </c>
      <c r="K606" t="s">
        <v>2178</v>
      </c>
    </row>
    <row r="607" spans="1:11">
      <c r="A607" t="s">
        <v>76</v>
      </c>
      <c r="B607" t="s">
        <v>4736</v>
      </c>
      <c r="C607" t="s">
        <v>4737</v>
      </c>
      <c r="D607" s="95">
        <f>Prices!$J$13</f>
        <v>188.40816326530611</v>
      </c>
      <c r="F607">
        <v>9.2200000000000006</v>
      </c>
      <c r="G607" t="s">
        <v>4738</v>
      </c>
      <c r="H607" t="s">
        <v>12</v>
      </c>
      <c r="I607" t="s">
        <v>4737</v>
      </c>
      <c r="J607" t="s">
        <v>1610</v>
      </c>
      <c r="K607" t="s">
        <v>4739</v>
      </c>
    </row>
    <row r="608" spans="1:11">
      <c r="A608" t="s">
        <v>76</v>
      </c>
      <c r="B608" t="s">
        <v>4732</v>
      </c>
      <c r="C608" t="s">
        <v>4733</v>
      </c>
      <c r="D608" s="95">
        <f>Prices!$J$13</f>
        <v>188.40816326530611</v>
      </c>
      <c r="F608">
        <v>95.02</v>
      </c>
      <c r="G608" t="s">
        <v>4734</v>
      </c>
      <c r="H608" t="s">
        <v>12</v>
      </c>
      <c r="I608" t="s">
        <v>4733</v>
      </c>
      <c r="J608" t="s">
        <v>1610</v>
      </c>
      <c r="K608" t="s">
        <v>4735</v>
      </c>
    </row>
    <row r="609" spans="1:11">
      <c r="A609" t="s">
        <v>76</v>
      </c>
      <c r="B609" t="s">
        <v>523</v>
      </c>
      <c r="C609" t="s">
        <v>524</v>
      </c>
      <c r="D609" s="95">
        <f>Prices!$J$13</f>
        <v>188.40816326530611</v>
      </c>
      <c r="F609">
        <v>212.37</v>
      </c>
      <c r="G609" t="s">
        <v>525</v>
      </c>
      <c r="H609" t="s">
        <v>12</v>
      </c>
      <c r="I609" t="s">
        <v>524</v>
      </c>
      <c r="J609" t="s">
        <v>13</v>
      </c>
      <c r="K609" t="s">
        <v>526</v>
      </c>
    </row>
    <row r="610" spans="1:11">
      <c r="A610" t="s">
        <v>10</v>
      </c>
      <c r="B610" t="s">
        <v>3806</v>
      </c>
      <c r="C610" t="s">
        <v>3807</v>
      </c>
      <c r="D610" s="95">
        <f>Prices!$J$13</f>
        <v>188.40816326530611</v>
      </c>
      <c r="F610">
        <v>23.58</v>
      </c>
      <c r="G610" t="s">
        <v>3808</v>
      </c>
      <c r="H610" t="s">
        <v>12</v>
      </c>
      <c r="I610" t="s">
        <v>3807</v>
      </c>
      <c r="J610" t="s">
        <v>1610</v>
      </c>
      <c r="K610" t="s">
        <v>3809</v>
      </c>
    </row>
    <row r="611" spans="1:11">
      <c r="A611" t="s">
        <v>76</v>
      </c>
      <c r="B611" t="s">
        <v>4740</v>
      </c>
      <c r="C611" t="s">
        <v>4741</v>
      </c>
      <c r="D611" s="95">
        <f>Prices!$J$13</f>
        <v>188.40816326530611</v>
      </c>
      <c r="F611">
        <v>164.12</v>
      </c>
      <c r="G611" t="s">
        <v>4742</v>
      </c>
      <c r="H611" t="s">
        <v>12</v>
      </c>
      <c r="I611" t="s">
        <v>4741</v>
      </c>
      <c r="J611" t="s">
        <v>1610</v>
      </c>
      <c r="K611" t="s">
        <v>4743</v>
      </c>
    </row>
    <row r="612" spans="1:11">
      <c r="A612" t="s">
        <v>76</v>
      </c>
      <c r="B612" t="s">
        <v>527</v>
      </c>
      <c r="C612" t="s">
        <v>528</v>
      </c>
      <c r="D612" s="95">
        <f>Prices!$J$13</f>
        <v>188.40816326530611</v>
      </c>
      <c r="F612">
        <v>386.05</v>
      </c>
      <c r="G612" t="s">
        <v>529</v>
      </c>
      <c r="H612" t="s">
        <v>12</v>
      </c>
      <c r="I612" t="s">
        <v>528</v>
      </c>
      <c r="J612" t="s">
        <v>13</v>
      </c>
      <c r="K612" t="s">
        <v>530</v>
      </c>
    </row>
    <row r="613" spans="1:11">
      <c r="A613" t="s">
        <v>76</v>
      </c>
      <c r="B613" t="s">
        <v>714</v>
      </c>
      <c r="C613" t="s">
        <v>715</v>
      </c>
      <c r="D613" s="95">
        <f>Prices!$J$13</f>
        <v>188.40816326530611</v>
      </c>
      <c r="F613">
        <v>0</v>
      </c>
      <c r="G613" t="s">
        <v>716</v>
      </c>
      <c r="I613" t="s">
        <v>715</v>
      </c>
      <c r="J613" t="s">
        <v>13</v>
      </c>
      <c r="K613" t="s">
        <v>717</v>
      </c>
    </row>
    <row r="614" spans="1:11">
      <c r="A614" t="s">
        <v>10</v>
      </c>
      <c r="B614" t="s">
        <v>4177</v>
      </c>
      <c r="C614" t="s">
        <v>4178</v>
      </c>
      <c r="D614" s="95">
        <f>Prices!$J$13</f>
        <v>188.40816326530611</v>
      </c>
      <c r="F614">
        <v>14.88</v>
      </c>
      <c r="G614" t="s">
        <v>4179</v>
      </c>
      <c r="H614" t="s">
        <v>12</v>
      </c>
      <c r="I614" t="s">
        <v>4178</v>
      </c>
      <c r="J614" t="s">
        <v>1610</v>
      </c>
      <c r="K614" t="s">
        <v>4180</v>
      </c>
    </row>
    <row r="615" spans="1:11">
      <c r="A615" t="s">
        <v>76</v>
      </c>
      <c r="B615" t="s">
        <v>4744</v>
      </c>
      <c r="C615" t="s">
        <v>4745</v>
      </c>
      <c r="D615" s="95">
        <f>Prices!$J$13</f>
        <v>188.40816326530611</v>
      </c>
      <c r="F615">
        <v>190.77</v>
      </c>
      <c r="G615" t="s">
        <v>4746</v>
      </c>
      <c r="H615" t="s">
        <v>12</v>
      </c>
      <c r="I615" t="s">
        <v>4745</v>
      </c>
      <c r="J615" t="s">
        <v>1610</v>
      </c>
      <c r="K615" t="s">
        <v>4747</v>
      </c>
    </row>
    <row r="616" spans="1:11">
      <c r="A616" t="s">
        <v>76</v>
      </c>
      <c r="B616" t="s">
        <v>531</v>
      </c>
      <c r="C616" t="s">
        <v>532</v>
      </c>
      <c r="D616" s="95">
        <f>Prices!$J$13</f>
        <v>188.40816326530611</v>
      </c>
      <c r="F616">
        <v>511.43</v>
      </c>
      <c r="G616" t="s">
        <v>533</v>
      </c>
      <c r="H616" t="s">
        <v>12</v>
      </c>
      <c r="I616" t="s">
        <v>532</v>
      </c>
      <c r="J616" t="s">
        <v>13</v>
      </c>
      <c r="K616" t="s">
        <v>534</v>
      </c>
    </row>
    <row r="617" spans="1:11">
      <c r="A617" t="s">
        <v>76</v>
      </c>
      <c r="B617" t="s">
        <v>4752</v>
      </c>
      <c r="C617" t="s">
        <v>4753</v>
      </c>
      <c r="D617" s="95">
        <f>Prices!$J$13</f>
        <v>188.40816326530611</v>
      </c>
      <c r="F617">
        <v>1</v>
      </c>
      <c r="G617" t="s">
        <v>4754</v>
      </c>
      <c r="H617" t="s">
        <v>12</v>
      </c>
      <c r="I617" t="s">
        <v>4753</v>
      </c>
      <c r="J617" t="s">
        <v>1610</v>
      </c>
      <c r="K617" t="s">
        <v>4755</v>
      </c>
    </row>
    <row r="618" spans="1:11">
      <c r="A618" t="s">
        <v>76</v>
      </c>
      <c r="B618" t="s">
        <v>4748</v>
      </c>
      <c r="C618" t="s">
        <v>4749</v>
      </c>
      <c r="D618" s="95">
        <f>Prices!$J$13</f>
        <v>188.40816326530611</v>
      </c>
      <c r="F618">
        <v>82.81</v>
      </c>
      <c r="G618" t="s">
        <v>4750</v>
      </c>
      <c r="H618" t="s">
        <v>12</v>
      </c>
      <c r="I618" t="s">
        <v>4749</v>
      </c>
      <c r="J618" t="s">
        <v>1610</v>
      </c>
      <c r="K618" t="s">
        <v>4751</v>
      </c>
    </row>
    <row r="619" spans="1:11">
      <c r="A619" t="s">
        <v>76</v>
      </c>
      <c r="B619" t="s">
        <v>166</v>
      </c>
      <c r="C619" t="s">
        <v>167</v>
      </c>
      <c r="D619" s="95">
        <f>Prices!$J$13</f>
        <v>188.40816326530611</v>
      </c>
      <c r="F619">
        <v>3.85</v>
      </c>
      <c r="G619" t="s">
        <v>168</v>
      </c>
      <c r="H619" t="s">
        <v>12</v>
      </c>
      <c r="I619" t="s">
        <v>167</v>
      </c>
      <c r="J619" t="s">
        <v>13</v>
      </c>
      <c r="K619" t="s">
        <v>169</v>
      </c>
    </row>
    <row r="620" spans="1:11">
      <c r="A620" t="s">
        <v>23</v>
      </c>
      <c r="B620" t="s">
        <v>4312</v>
      </c>
      <c r="C620" t="s">
        <v>4313</v>
      </c>
      <c r="D620" s="95">
        <f>Prices!$J$13</f>
        <v>188.40816326530611</v>
      </c>
      <c r="F620">
        <v>19.559999999999999</v>
      </c>
      <c r="G620" t="s">
        <v>4314</v>
      </c>
      <c r="H620" t="s">
        <v>12</v>
      </c>
      <c r="I620" t="s">
        <v>4313</v>
      </c>
      <c r="J620" t="s">
        <v>1610</v>
      </c>
      <c r="K620" t="s">
        <v>4315</v>
      </c>
    </row>
    <row r="621" spans="1:11">
      <c r="A621" t="s">
        <v>76</v>
      </c>
      <c r="B621" t="s">
        <v>4756</v>
      </c>
      <c r="C621" t="s">
        <v>4757</v>
      </c>
      <c r="D621" s="95">
        <f>Prices!$J$13</f>
        <v>188.40816326530611</v>
      </c>
      <c r="F621">
        <v>264.86</v>
      </c>
      <c r="G621" t="s">
        <v>4758</v>
      </c>
      <c r="H621" t="s">
        <v>12</v>
      </c>
      <c r="I621" t="s">
        <v>4757</v>
      </c>
      <c r="J621" t="s">
        <v>1610</v>
      </c>
      <c r="K621" t="s">
        <v>4759</v>
      </c>
    </row>
    <row r="622" spans="1:11">
      <c r="A622" t="s">
        <v>10</v>
      </c>
      <c r="B622" t="s">
        <v>151</v>
      </c>
      <c r="C622" t="s">
        <v>152</v>
      </c>
      <c r="D622" s="95">
        <f>Prices!$J$13</f>
        <v>188.40816326530611</v>
      </c>
      <c r="F622">
        <v>23.04</v>
      </c>
      <c r="G622" t="s">
        <v>153</v>
      </c>
      <c r="H622" t="s">
        <v>12</v>
      </c>
      <c r="I622" t="s">
        <v>152</v>
      </c>
      <c r="J622" t="s">
        <v>13</v>
      </c>
      <c r="K622" t="s">
        <v>154</v>
      </c>
    </row>
    <row r="623" spans="1:11">
      <c r="A623" t="s">
        <v>10</v>
      </c>
      <c r="B623" t="s">
        <v>2585</v>
      </c>
      <c r="C623" t="s">
        <v>2586</v>
      </c>
      <c r="D623" s="95">
        <f>Prices!$J$13</f>
        <v>188.40816326530611</v>
      </c>
      <c r="F623">
        <v>4.46</v>
      </c>
      <c r="G623" t="s">
        <v>2587</v>
      </c>
      <c r="H623" t="s">
        <v>12</v>
      </c>
      <c r="I623" t="s">
        <v>2586</v>
      </c>
      <c r="J623" t="s">
        <v>1610</v>
      </c>
      <c r="K623" t="s">
        <v>2588</v>
      </c>
    </row>
    <row r="624" spans="1:11">
      <c r="A624" t="s">
        <v>76</v>
      </c>
      <c r="B624" t="s">
        <v>4760</v>
      </c>
      <c r="C624" t="s">
        <v>4761</v>
      </c>
      <c r="D624" s="95">
        <f>Prices!$J$13</f>
        <v>188.40816326530611</v>
      </c>
      <c r="F624">
        <v>143.96</v>
      </c>
      <c r="G624" t="s">
        <v>4762</v>
      </c>
      <c r="H624" t="s">
        <v>12</v>
      </c>
      <c r="I624" t="s">
        <v>4761</v>
      </c>
      <c r="J624" t="s">
        <v>1610</v>
      </c>
      <c r="K624" t="s">
        <v>4763</v>
      </c>
    </row>
    <row r="625" spans="1:11">
      <c r="A625" t="s">
        <v>23</v>
      </c>
      <c r="B625" t="s">
        <v>4017</v>
      </c>
      <c r="C625" t="s">
        <v>4018</v>
      </c>
      <c r="D625" s="95">
        <f>Prices!$J$13</f>
        <v>188.40816326530611</v>
      </c>
      <c r="F625">
        <v>31</v>
      </c>
      <c r="G625" t="s">
        <v>4019</v>
      </c>
      <c r="H625" t="s">
        <v>12</v>
      </c>
      <c r="I625" t="s">
        <v>4018</v>
      </c>
      <c r="J625" t="s">
        <v>1610</v>
      </c>
      <c r="K625" t="s">
        <v>4020</v>
      </c>
    </row>
    <row r="626" spans="1:11">
      <c r="A626" t="s">
        <v>76</v>
      </c>
      <c r="B626" t="s">
        <v>4764</v>
      </c>
      <c r="C626" t="s">
        <v>4765</v>
      </c>
      <c r="D626" s="95">
        <f>Prices!$J$13</f>
        <v>188.40816326530611</v>
      </c>
      <c r="F626">
        <v>164.31</v>
      </c>
      <c r="G626" t="s">
        <v>4766</v>
      </c>
      <c r="H626" t="s">
        <v>12</v>
      </c>
      <c r="I626" t="s">
        <v>4765</v>
      </c>
      <c r="J626" t="s">
        <v>1610</v>
      </c>
      <c r="K626" t="s">
        <v>4767</v>
      </c>
    </row>
    <row r="627" spans="1:11">
      <c r="A627" t="s">
        <v>76</v>
      </c>
      <c r="B627" t="s">
        <v>535</v>
      </c>
      <c r="C627" t="s">
        <v>536</v>
      </c>
      <c r="D627" s="95">
        <f>Prices!$J$13</f>
        <v>188.40816326530611</v>
      </c>
      <c r="F627">
        <v>119.68</v>
      </c>
      <c r="G627" t="s">
        <v>537</v>
      </c>
      <c r="H627" t="s">
        <v>12</v>
      </c>
      <c r="I627" t="s">
        <v>536</v>
      </c>
      <c r="J627" t="s">
        <v>13</v>
      </c>
      <c r="K627" t="s">
        <v>538</v>
      </c>
    </row>
    <row r="628" spans="1:11">
      <c r="A628" t="s">
        <v>23</v>
      </c>
      <c r="B628" t="s">
        <v>3414</v>
      </c>
      <c r="C628" t="s">
        <v>3415</v>
      </c>
      <c r="D628" s="95">
        <f>Prices!$J$13</f>
        <v>188.40816326530611</v>
      </c>
      <c r="F628">
        <v>51.24</v>
      </c>
      <c r="G628" t="s">
        <v>4228</v>
      </c>
      <c r="H628" t="s">
        <v>12</v>
      </c>
      <c r="I628" t="s">
        <v>3415</v>
      </c>
      <c r="J628" t="s">
        <v>1610</v>
      </c>
      <c r="K628" t="s">
        <v>4229</v>
      </c>
    </row>
    <row r="629" spans="1:11">
      <c r="A629" t="s">
        <v>76</v>
      </c>
      <c r="B629" t="s">
        <v>4768</v>
      </c>
      <c r="C629" t="s">
        <v>4769</v>
      </c>
      <c r="D629" s="95">
        <f>Prices!$J$13</f>
        <v>188.40816326530611</v>
      </c>
      <c r="F629">
        <v>196.43</v>
      </c>
      <c r="G629" t="s">
        <v>4770</v>
      </c>
      <c r="H629" t="s">
        <v>12</v>
      </c>
      <c r="I629" t="s">
        <v>4769</v>
      </c>
      <c r="J629" t="s">
        <v>1610</v>
      </c>
      <c r="K629" t="s">
        <v>4771</v>
      </c>
    </row>
    <row r="630" spans="1:11">
      <c r="A630" t="s">
        <v>76</v>
      </c>
      <c r="B630" t="s">
        <v>543</v>
      </c>
      <c r="C630" t="s">
        <v>544</v>
      </c>
      <c r="D630" s="95">
        <f>Prices!$J$13</f>
        <v>188.40816326530611</v>
      </c>
      <c r="F630">
        <v>96.07</v>
      </c>
      <c r="G630" t="s">
        <v>545</v>
      </c>
      <c r="H630" t="s">
        <v>12</v>
      </c>
      <c r="I630" t="s">
        <v>544</v>
      </c>
      <c r="J630" t="s">
        <v>13</v>
      </c>
      <c r="K630" t="s">
        <v>546</v>
      </c>
    </row>
    <row r="631" spans="1:11">
      <c r="A631" t="s">
        <v>76</v>
      </c>
      <c r="B631" t="s">
        <v>2958</v>
      </c>
      <c r="C631" t="s">
        <v>2959</v>
      </c>
      <c r="D631" s="95">
        <f>Prices!$J$13</f>
        <v>188.40816326530611</v>
      </c>
      <c r="F631">
        <v>0</v>
      </c>
      <c r="G631" t="s">
        <v>2960</v>
      </c>
      <c r="I631" t="s">
        <v>2959</v>
      </c>
      <c r="J631" t="s">
        <v>1610</v>
      </c>
      <c r="K631" t="s">
        <v>2961</v>
      </c>
    </row>
    <row r="632" spans="1:11">
      <c r="A632" t="s">
        <v>10</v>
      </c>
      <c r="B632" t="s">
        <v>4772</v>
      </c>
      <c r="C632" t="s">
        <v>4773</v>
      </c>
      <c r="D632" s="95">
        <f>Prices!$J$13</f>
        <v>188.40816326530611</v>
      </c>
      <c r="F632">
        <v>36.14</v>
      </c>
      <c r="G632" t="s">
        <v>4774</v>
      </c>
      <c r="H632" t="s">
        <v>12</v>
      </c>
      <c r="I632" t="s">
        <v>4773</v>
      </c>
      <c r="J632" t="s">
        <v>1610</v>
      </c>
      <c r="K632" t="s">
        <v>4775</v>
      </c>
    </row>
    <row r="633" spans="1:11">
      <c r="A633" t="s">
        <v>76</v>
      </c>
      <c r="B633" t="s">
        <v>764</v>
      </c>
      <c r="C633" t="s">
        <v>765</v>
      </c>
      <c r="D633" s="95">
        <f>Prices!$J$13</f>
        <v>188.40816326530611</v>
      </c>
      <c r="F633">
        <v>0</v>
      </c>
      <c r="G633" t="s">
        <v>766</v>
      </c>
      <c r="I633" t="s">
        <v>765</v>
      </c>
      <c r="J633" t="s">
        <v>13</v>
      </c>
      <c r="K633" t="s">
        <v>767</v>
      </c>
    </row>
    <row r="634" spans="1:11">
      <c r="A634" t="s">
        <v>76</v>
      </c>
      <c r="B634" t="s">
        <v>4780</v>
      </c>
      <c r="C634" t="s">
        <v>4781</v>
      </c>
      <c r="D634" s="95">
        <f>Prices!$J$13</f>
        <v>188.40816326530611</v>
      </c>
      <c r="F634">
        <v>1.28</v>
      </c>
      <c r="G634" t="s">
        <v>4782</v>
      </c>
      <c r="H634" t="s">
        <v>12</v>
      </c>
      <c r="I634" t="s">
        <v>4781</v>
      </c>
      <c r="J634" t="s">
        <v>1610</v>
      </c>
      <c r="K634" t="s">
        <v>4783</v>
      </c>
    </row>
    <row r="635" spans="1:11">
      <c r="A635" t="s">
        <v>10</v>
      </c>
      <c r="B635" t="s">
        <v>4776</v>
      </c>
      <c r="C635" t="s">
        <v>4777</v>
      </c>
      <c r="D635" s="95">
        <f>Prices!$J$13</f>
        <v>188.40816326530611</v>
      </c>
      <c r="F635">
        <v>93.45</v>
      </c>
      <c r="G635" t="s">
        <v>4778</v>
      </c>
      <c r="H635" t="s">
        <v>12</v>
      </c>
      <c r="I635" t="s">
        <v>4777</v>
      </c>
      <c r="J635" t="s">
        <v>1610</v>
      </c>
      <c r="K635" t="s">
        <v>4779</v>
      </c>
    </row>
    <row r="636" spans="1:11">
      <c r="A636" t="s">
        <v>76</v>
      </c>
      <c r="B636" t="s">
        <v>551</v>
      </c>
      <c r="C636" t="s">
        <v>552</v>
      </c>
      <c r="D636" s="95">
        <f>Prices!$J$13</f>
        <v>188.40816326530611</v>
      </c>
      <c r="F636">
        <v>206.51</v>
      </c>
      <c r="G636" t="s">
        <v>553</v>
      </c>
      <c r="H636" t="s">
        <v>12</v>
      </c>
      <c r="I636" t="s">
        <v>552</v>
      </c>
      <c r="J636" t="s">
        <v>13</v>
      </c>
      <c r="K636" t="s">
        <v>554</v>
      </c>
    </row>
    <row r="637" spans="1:11">
      <c r="A637" t="s">
        <v>76</v>
      </c>
      <c r="B637" t="s">
        <v>3318</v>
      </c>
      <c r="C637" t="s">
        <v>3319</v>
      </c>
      <c r="D637" s="95">
        <f>Prices!$J$13</f>
        <v>188.40816326530611</v>
      </c>
      <c r="F637">
        <v>0</v>
      </c>
      <c r="G637" t="s">
        <v>3320</v>
      </c>
      <c r="I637" t="s">
        <v>3319</v>
      </c>
      <c r="J637" t="s">
        <v>1610</v>
      </c>
      <c r="K637" t="s">
        <v>3321</v>
      </c>
    </row>
    <row r="638" spans="1:11">
      <c r="A638" t="s">
        <v>76</v>
      </c>
      <c r="B638" t="s">
        <v>2937</v>
      </c>
      <c r="C638" t="s">
        <v>2938</v>
      </c>
      <c r="D638" s="95">
        <f>Prices!$J$13</f>
        <v>188.40816326530611</v>
      </c>
      <c r="F638">
        <v>0</v>
      </c>
      <c r="G638" t="s">
        <v>2939</v>
      </c>
      <c r="I638" t="s">
        <v>2938</v>
      </c>
      <c r="J638" t="s">
        <v>1610</v>
      </c>
      <c r="K638" t="s">
        <v>2940</v>
      </c>
    </row>
    <row r="639" spans="1:11">
      <c r="A639" t="s">
        <v>76</v>
      </c>
      <c r="B639" t="s">
        <v>736</v>
      </c>
      <c r="C639" t="s">
        <v>737</v>
      </c>
      <c r="D639" s="95">
        <f>Prices!$J$13</f>
        <v>188.40816326530611</v>
      </c>
      <c r="F639">
        <v>0</v>
      </c>
      <c r="G639" t="s">
        <v>738</v>
      </c>
      <c r="I639" t="s">
        <v>737</v>
      </c>
      <c r="J639" t="s">
        <v>13</v>
      </c>
      <c r="K639" t="s">
        <v>739</v>
      </c>
    </row>
    <row r="640" spans="1:11">
      <c r="A640" t="s">
        <v>76</v>
      </c>
      <c r="B640" t="s">
        <v>4788</v>
      </c>
      <c r="C640" t="s">
        <v>4789</v>
      </c>
      <c r="D640" s="95">
        <f>Prices!$J$13</f>
        <v>188.40816326530611</v>
      </c>
      <c r="F640">
        <v>3.12</v>
      </c>
      <c r="G640" t="s">
        <v>4790</v>
      </c>
      <c r="H640" t="s">
        <v>12</v>
      </c>
      <c r="I640" t="s">
        <v>4789</v>
      </c>
      <c r="J640" t="s">
        <v>1610</v>
      </c>
      <c r="K640" t="s">
        <v>4791</v>
      </c>
    </row>
    <row r="641" spans="1:11">
      <c r="A641" t="s">
        <v>76</v>
      </c>
      <c r="B641" t="s">
        <v>4784</v>
      </c>
      <c r="C641" t="s">
        <v>4785</v>
      </c>
      <c r="D641" s="95">
        <f>Prices!$J$13</f>
        <v>188.40816326530611</v>
      </c>
      <c r="F641">
        <v>60.75</v>
      </c>
      <c r="G641" t="s">
        <v>4786</v>
      </c>
      <c r="H641" t="s">
        <v>12</v>
      </c>
      <c r="I641" t="s">
        <v>4785</v>
      </c>
      <c r="J641" t="s">
        <v>1610</v>
      </c>
      <c r="K641" t="s">
        <v>4787</v>
      </c>
    </row>
    <row r="642" spans="1:11">
      <c r="A642" t="s">
        <v>76</v>
      </c>
      <c r="B642" t="s">
        <v>301</v>
      </c>
      <c r="C642" t="s">
        <v>302</v>
      </c>
      <c r="D642" s="95">
        <f>Prices!$J$13</f>
        <v>188.40816326530611</v>
      </c>
      <c r="F642">
        <v>0</v>
      </c>
      <c r="G642" t="s">
        <v>303</v>
      </c>
      <c r="I642" t="s">
        <v>302</v>
      </c>
      <c r="J642" t="s">
        <v>13</v>
      </c>
      <c r="K642" t="s">
        <v>304</v>
      </c>
    </row>
    <row r="643" spans="1:11">
      <c r="A643" t="s">
        <v>76</v>
      </c>
      <c r="B643" t="s">
        <v>3386</v>
      </c>
      <c r="C643" t="s">
        <v>3387</v>
      </c>
      <c r="D643" s="95">
        <f>Prices!$J$13</f>
        <v>188.40816326530611</v>
      </c>
      <c r="F643">
        <v>0</v>
      </c>
      <c r="G643" t="s">
        <v>3388</v>
      </c>
      <c r="I643" t="s">
        <v>3387</v>
      </c>
      <c r="J643" t="s">
        <v>1610</v>
      </c>
      <c r="K643" t="s">
        <v>3389</v>
      </c>
    </row>
    <row r="644" spans="1:11">
      <c r="A644" t="s">
        <v>76</v>
      </c>
      <c r="B644" t="s">
        <v>2909</v>
      </c>
      <c r="C644" t="s">
        <v>2910</v>
      </c>
      <c r="D644" s="95">
        <f>Prices!$J$13</f>
        <v>188.40816326530611</v>
      </c>
      <c r="F644">
        <v>0</v>
      </c>
      <c r="G644" t="s">
        <v>2911</v>
      </c>
      <c r="I644" t="s">
        <v>2910</v>
      </c>
      <c r="J644" t="s">
        <v>1610</v>
      </c>
      <c r="K644" t="s">
        <v>2912</v>
      </c>
    </row>
    <row r="645" spans="1:11">
      <c r="A645" t="s">
        <v>76</v>
      </c>
      <c r="B645" t="s">
        <v>2873</v>
      </c>
      <c r="C645" t="s">
        <v>2874</v>
      </c>
      <c r="D645" s="95">
        <f>Prices!$J$13</f>
        <v>188.40816326530611</v>
      </c>
      <c r="F645">
        <v>0</v>
      </c>
      <c r="G645" t="s">
        <v>2875</v>
      </c>
      <c r="I645" t="s">
        <v>2874</v>
      </c>
      <c r="J645" t="s">
        <v>1610</v>
      </c>
      <c r="K645" t="s">
        <v>2876</v>
      </c>
    </row>
    <row r="646" spans="1:11">
      <c r="A646" t="s">
        <v>76</v>
      </c>
      <c r="B646" t="s">
        <v>4792</v>
      </c>
      <c r="C646" t="s">
        <v>4793</v>
      </c>
      <c r="D646" s="95">
        <f>Prices!$J$13</f>
        <v>188.40816326530611</v>
      </c>
      <c r="F646">
        <v>120.83</v>
      </c>
      <c r="G646" t="s">
        <v>4794</v>
      </c>
      <c r="H646" t="s">
        <v>12</v>
      </c>
      <c r="I646" t="s">
        <v>4793</v>
      </c>
      <c r="J646" t="s">
        <v>1610</v>
      </c>
      <c r="K646" t="s">
        <v>4795</v>
      </c>
    </row>
    <row r="647" spans="1:11">
      <c r="A647" t="s">
        <v>76</v>
      </c>
      <c r="B647" t="s">
        <v>559</v>
      </c>
      <c r="C647" t="s">
        <v>560</v>
      </c>
      <c r="D647" s="95">
        <f>Prices!$J$13</f>
        <v>188.40816326530611</v>
      </c>
      <c r="F647">
        <v>166.29</v>
      </c>
      <c r="G647" t="s">
        <v>561</v>
      </c>
      <c r="H647" t="s">
        <v>12</v>
      </c>
      <c r="I647" t="s">
        <v>560</v>
      </c>
      <c r="J647" t="s">
        <v>13</v>
      </c>
      <c r="K647" t="s">
        <v>562</v>
      </c>
    </row>
    <row r="648" spans="1:11">
      <c r="A648" t="s">
        <v>76</v>
      </c>
      <c r="B648" t="s">
        <v>3361</v>
      </c>
      <c r="C648" t="s">
        <v>3362</v>
      </c>
      <c r="D648" s="95">
        <f>Prices!$J$13</f>
        <v>188.40816326530611</v>
      </c>
      <c r="F648">
        <v>0</v>
      </c>
      <c r="G648" t="s">
        <v>3363</v>
      </c>
      <c r="I648" t="s">
        <v>3362</v>
      </c>
      <c r="J648" t="s">
        <v>1610</v>
      </c>
      <c r="K648" t="s">
        <v>3364</v>
      </c>
    </row>
    <row r="649" spans="1:11">
      <c r="A649" t="s">
        <v>76</v>
      </c>
      <c r="B649" t="s">
        <v>4796</v>
      </c>
      <c r="C649" t="s">
        <v>4797</v>
      </c>
      <c r="D649" s="95">
        <f>Prices!$J$13</f>
        <v>188.40816326530611</v>
      </c>
      <c r="F649">
        <v>5.55</v>
      </c>
      <c r="G649" t="s">
        <v>4798</v>
      </c>
      <c r="H649" t="s">
        <v>12</v>
      </c>
      <c r="I649" t="s">
        <v>4797</v>
      </c>
      <c r="J649" t="s">
        <v>1610</v>
      </c>
      <c r="K649" t="s">
        <v>4799</v>
      </c>
    </row>
    <row r="650" spans="1:11">
      <c r="A650" t="s">
        <v>76</v>
      </c>
      <c r="B650" t="s">
        <v>107</v>
      </c>
      <c r="C650" t="s">
        <v>108</v>
      </c>
      <c r="D650" s="95">
        <f>Prices!$J$13</f>
        <v>188.40816326530611</v>
      </c>
      <c r="F650">
        <v>0</v>
      </c>
      <c r="G650" t="s">
        <v>109</v>
      </c>
      <c r="I650" t="s">
        <v>108</v>
      </c>
      <c r="J650" t="s">
        <v>13</v>
      </c>
      <c r="K650" t="s">
        <v>110</v>
      </c>
    </row>
    <row r="651" spans="1:11">
      <c r="A651" t="s">
        <v>76</v>
      </c>
      <c r="B651" t="s">
        <v>3244</v>
      </c>
      <c r="C651" t="s">
        <v>3245</v>
      </c>
      <c r="D651" s="95">
        <f>Prices!$J$13</f>
        <v>188.40816326530611</v>
      </c>
      <c r="F651">
        <v>0</v>
      </c>
      <c r="G651" t="s">
        <v>3246</v>
      </c>
      <c r="I651" t="s">
        <v>3245</v>
      </c>
      <c r="J651" t="s">
        <v>1610</v>
      </c>
      <c r="K651" t="s">
        <v>3247</v>
      </c>
    </row>
    <row r="652" spans="1:11">
      <c r="A652" t="s">
        <v>76</v>
      </c>
      <c r="B652" t="s">
        <v>368</v>
      </c>
      <c r="C652" t="s">
        <v>369</v>
      </c>
      <c r="D652" s="95">
        <f>Prices!$J$13</f>
        <v>188.40816326530611</v>
      </c>
      <c r="F652">
        <v>0</v>
      </c>
      <c r="G652" t="s">
        <v>370</v>
      </c>
      <c r="I652" t="s">
        <v>369</v>
      </c>
      <c r="J652" t="s">
        <v>13</v>
      </c>
      <c r="K652" t="s">
        <v>371</v>
      </c>
    </row>
    <row r="653" spans="1:11">
      <c r="A653" t="s">
        <v>76</v>
      </c>
      <c r="B653" t="s">
        <v>3217</v>
      </c>
      <c r="C653" t="s">
        <v>3218</v>
      </c>
      <c r="D653" s="95">
        <f>Prices!$J$13</f>
        <v>188.40816326530611</v>
      </c>
      <c r="F653">
        <v>0</v>
      </c>
      <c r="G653" t="s">
        <v>3219</v>
      </c>
      <c r="I653" t="s">
        <v>3218</v>
      </c>
      <c r="J653" t="s">
        <v>1610</v>
      </c>
      <c r="K653" t="s">
        <v>3220</v>
      </c>
    </row>
    <row r="654" spans="1:11">
      <c r="A654" t="s">
        <v>76</v>
      </c>
      <c r="B654" t="s">
        <v>692</v>
      </c>
      <c r="C654" t="s">
        <v>693</v>
      </c>
      <c r="D654" s="95">
        <f>Prices!$J$13</f>
        <v>188.40816326530611</v>
      </c>
      <c r="F654">
        <v>0</v>
      </c>
      <c r="G654" t="s">
        <v>694</v>
      </c>
      <c r="I654" t="s">
        <v>693</v>
      </c>
      <c r="J654" t="s">
        <v>13</v>
      </c>
      <c r="K654" t="s">
        <v>695</v>
      </c>
    </row>
    <row r="655" spans="1:11">
      <c r="A655" t="s">
        <v>76</v>
      </c>
      <c r="B655" t="s">
        <v>364</v>
      </c>
      <c r="C655" t="s">
        <v>365</v>
      </c>
      <c r="D655" s="95">
        <f>Prices!$J$13</f>
        <v>188.40816326530611</v>
      </c>
      <c r="F655">
        <v>0</v>
      </c>
      <c r="G655" t="s">
        <v>366</v>
      </c>
      <c r="I655" t="s">
        <v>365</v>
      </c>
      <c r="J655" t="s">
        <v>13</v>
      </c>
      <c r="K655" t="s">
        <v>367</v>
      </c>
    </row>
    <row r="656" spans="1:11">
      <c r="A656" t="s">
        <v>76</v>
      </c>
      <c r="B656" t="s">
        <v>2222</v>
      </c>
      <c r="C656" t="s">
        <v>2223</v>
      </c>
      <c r="D656" s="95">
        <f>Prices!$J$13</f>
        <v>188.40816326530611</v>
      </c>
      <c r="F656">
        <v>19.309999999999999</v>
      </c>
      <c r="G656" t="s">
        <v>2224</v>
      </c>
      <c r="H656" t="s">
        <v>12</v>
      </c>
      <c r="I656" t="s">
        <v>2223</v>
      </c>
      <c r="J656" t="s">
        <v>1610</v>
      </c>
      <c r="K656" t="s">
        <v>2225</v>
      </c>
    </row>
    <row r="657" spans="1:11">
      <c r="A657" t="s">
        <v>1317</v>
      </c>
      <c r="B657" t="s">
        <v>1963</v>
      </c>
      <c r="C657" t="s">
        <v>1964</v>
      </c>
      <c r="D657" s="95">
        <f>Prices!$J$13</f>
        <v>188.40816326530611</v>
      </c>
      <c r="F657">
        <v>260.73</v>
      </c>
      <c r="G657" t="s">
        <v>2794</v>
      </c>
      <c r="H657" t="s">
        <v>12</v>
      </c>
      <c r="I657" t="s">
        <v>1964</v>
      </c>
      <c r="J657" t="s">
        <v>1610</v>
      </c>
      <c r="K657" t="s">
        <v>2795</v>
      </c>
    </row>
    <row r="658" spans="1:11">
      <c r="A658" t="s">
        <v>76</v>
      </c>
      <c r="B658" t="s">
        <v>438</v>
      </c>
      <c r="C658" t="s">
        <v>439</v>
      </c>
      <c r="D658" s="95">
        <f>Prices!$J$13</f>
        <v>188.40816326530611</v>
      </c>
      <c r="F658">
        <v>233.19</v>
      </c>
      <c r="G658" t="s">
        <v>440</v>
      </c>
      <c r="H658" t="s">
        <v>12</v>
      </c>
      <c r="I658" t="s">
        <v>439</v>
      </c>
      <c r="J658" t="s">
        <v>13</v>
      </c>
      <c r="K658" t="s">
        <v>441</v>
      </c>
    </row>
    <row r="659" spans="1:11">
      <c r="A659" t="s">
        <v>23</v>
      </c>
      <c r="B659" t="s">
        <v>1953</v>
      </c>
      <c r="C659" t="s">
        <v>1954</v>
      </c>
      <c r="D659" s="95">
        <f>Prices!$J$13</f>
        <v>188.40816326530611</v>
      </c>
      <c r="F659">
        <v>2.38</v>
      </c>
      <c r="G659" t="s">
        <v>3536</v>
      </c>
      <c r="H659" t="s">
        <v>12</v>
      </c>
      <c r="I659" t="s">
        <v>1954</v>
      </c>
      <c r="J659" t="s">
        <v>1610</v>
      </c>
      <c r="K659" t="s">
        <v>3537</v>
      </c>
    </row>
    <row r="660" spans="1:11">
      <c r="A660" t="s">
        <v>76</v>
      </c>
      <c r="B660" t="s">
        <v>452</v>
      </c>
      <c r="C660" t="s">
        <v>453</v>
      </c>
      <c r="D660" s="95">
        <f>Prices!$J$13</f>
        <v>188.40816326530611</v>
      </c>
      <c r="F660">
        <v>445.46</v>
      </c>
      <c r="G660" t="s">
        <v>454</v>
      </c>
      <c r="H660" t="s">
        <v>12</v>
      </c>
      <c r="I660" t="s">
        <v>453</v>
      </c>
      <c r="J660" t="s">
        <v>13</v>
      </c>
      <c r="K660" t="s">
        <v>455</v>
      </c>
    </row>
    <row r="661" spans="1:11">
      <c r="A661" t="s">
        <v>76</v>
      </c>
      <c r="B661" t="s">
        <v>1969</v>
      </c>
      <c r="C661" t="s">
        <v>1970</v>
      </c>
      <c r="D661" s="95">
        <f>Prices!$J$13</f>
        <v>188.40816326530611</v>
      </c>
      <c r="F661">
        <v>421.68</v>
      </c>
      <c r="G661" t="s">
        <v>1971</v>
      </c>
      <c r="H661" t="s">
        <v>12</v>
      </c>
      <c r="I661" t="s">
        <v>1970</v>
      </c>
      <c r="J661" t="s">
        <v>1610</v>
      </c>
      <c r="K661" t="s">
        <v>1972</v>
      </c>
    </row>
    <row r="662" spans="1:11">
      <c r="A662" t="s">
        <v>76</v>
      </c>
      <c r="B662" t="s">
        <v>456</v>
      </c>
      <c r="C662" t="s">
        <v>457</v>
      </c>
      <c r="D662" s="95">
        <f>Prices!$J$13</f>
        <v>188.40816326530611</v>
      </c>
      <c r="F662">
        <v>344.39</v>
      </c>
      <c r="G662" t="s">
        <v>458</v>
      </c>
      <c r="H662" t="s">
        <v>12</v>
      </c>
      <c r="I662" t="s">
        <v>457</v>
      </c>
      <c r="J662" t="s">
        <v>13</v>
      </c>
      <c r="K662" t="s">
        <v>459</v>
      </c>
    </row>
    <row r="663" spans="1:11">
      <c r="A663" t="s">
        <v>2711</v>
      </c>
      <c r="B663" t="s">
        <v>3025</v>
      </c>
      <c r="C663" t="s">
        <v>3026</v>
      </c>
      <c r="D663" s="95">
        <f>Prices!$J$13</f>
        <v>188.40816326530611</v>
      </c>
      <c r="F663">
        <v>0</v>
      </c>
      <c r="G663" t="s">
        <v>3027</v>
      </c>
      <c r="I663" t="s">
        <v>3026</v>
      </c>
      <c r="J663" t="s">
        <v>1610</v>
      </c>
      <c r="K663" t="s">
        <v>3028</v>
      </c>
    </row>
    <row r="664" spans="1:11">
      <c r="A664" t="s">
        <v>23</v>
      </c>
      <c r="B664" t="s">
        <v>2614</v>
      </c>
      <c r="C664" t="s">
        <v>2615</v>
      </c>
      <c r="D664" s="95">
        <f>Prices!$J$13</f>
        <v>188.40816326530611</v>
      </c>
      <c r="F664">
        <v>20.6</v>
      </c>
      <c r="G664" t="s">
        <v>2616</v>
      </c>
      <c r="H664" t="s">
        <v>12</v>
      </c>
      <c r="I664" t="s">
        <v>2615</v>
      </c>
      <c r="J664" t="s">
        <v>1610</v>
      </c>
      <c r="K664" t="s">
        <v>2617</v>
      </c>
    </row>
    <row r="665" spans="1:11">
      <c r="A665" t="s">
        <v>76</v>
      </c>
      <c r="B665" t="s">
        <v>460</v>
      </c>
      <c r="C665" t="s">
        <v>461</v>
      </c>
      <c r="D665" s="95">
        <f>Prices!$J$13</f>
        <v>188.40816326530611</v>
      </c>
      <c r="F665">
        <v>442.51</v>
      </c>
      <c r="G665" t="s">
        <v>462</v>
      </c>
      <c r="H665" t="s">
        <v>12</v>
      </c>
      <c r="I665" t="s">
        <v>461</v>
      </c>
      <c r="J665" t="s">
        <v>13</v>
      </c>
      <c r="K665" t="s">
        <v>463</v>
      </c>
    </row>
    <row r="666" spans="1:11">
      <c r="A666" t="s">
        <v>76</v>
      </c>
      <c r="B666" t="s">
        <v>1955</v>
      </c>
      <c r="C666" t="s">
        <v>1956</v>
      </c>
      <c r="D666" s="95">
        <f>Prices!$J$13</f>
        <v>188.40816326530611</v>
      </c>
      <c r="F666">
        <v>38.83</v>
      </c>
      <c r="G666" t="s">
        <v>1957</v>
      </c>
      <c r="H666" t="s">
        <v>12</v>
      </c>
      <c r="I666" t="s">
        <v>1956</v>
      </c>
      <c r="J666" t="s">
        <v>1610</v>
      </c>
      <c r="K666" t="s">
        <v>1958</v>
      </c>
    </row>
    <row r="667" spans="1:11">
      <c r="A667" t="s">
        <v>76</v>
      </c>
      <c r="B667" t="s">
        <v>1959</v>
      </c>
      <c r="C667" t="s">
        <v>1960</v>
      </c>
      <c r="D667" s="95">
        <f>Prices!$J$13</f>
        <v>188.40816326530611</v>
      </c>
      <c r="F667">
        <v>392.12</v>
      </c>
      <c r="G667" t="s">
        <v>1961</v>
      </c>
      <c r="H667" t="s">
        <v>12</v>
      </c>
      <c r="I667" t="s">
        <v>1960</v>
      </c>
      <c r="J667" t="s">
        <v>1610</v>
      </c>
      <c r="K667" t="s">
        <v>1962</v>
      </c>
    </row>
    <row r="668" spans="1:11">
      <c r="A668" t="s">
        <v>10</v>
      </c>
      <c r="B668" t="s">
        <v>4052</v>
      </c>
      <c r="C668" t="s">
        <v>4053</v>
      </c>
      <c r="D668" s="95">
        <f>Prices!$J$13</f>
        <v>188.40816326530611</v>
      </c>
      <c r="F668">
        <v>56.5</v>
      </c>
      <c r="G668" t="s">
        <v>4054</v>
      </c>
      <c r="H668" t="s">
        <v>12</v>
      </c>
      <c r="I668" t="s">
        <v>4053</v>
      </c>
      <c r="J668" t="s">
        <v>1610</v>
      </c>
      <c r="K668" t="s">
        <v>4055</v>
      </c>
    </row>
    <row r="669" spans="1:11">
      <c r="A669" t="s">
        <v>10</v>
      </c>
      <c r="B669" t="s">
        <v>3472</v>
      </c>
      <c r="C669" t="s">
        <v>3473</v>
      </c>
      <c r="D669" s="95">
        <f>Prices!$J$13</f>
        <v>188.40816326530611</v>
      </c>
      <c r="F669">
        <v>113.94</v>
      </c>
      <c r="G669" t="s">
        <v>3474</v>
      </c>
      <c r="H669" t="s">
        <v>12</v>
      </c>
      <c r="I669" t="s">
        <v>3473</v>
      </c>
      <c r="J669" t="s">
        <v>1610</v>
      </c>
      <c r="K669" t="s">
        <v>3475</v>
      </c>
    </row>
    <row r="670" spans="1:11">
      <c r="A670" t="s">
        <v>23</v>
      </c>
      <c r="B670" t="s">
        <v>416</v>
      </c>
      <c r="C670" t="s">
        <v>417</v>
      </c>
      <c r="D670" s="95">
        <f>Prices!$J$13</f>
        <v>188.40816326530611</v>
      </c>
      <c r="F670">
        <v>23.88</v>
      </c>
      <c r="G670" t="s">
        <v>418</v>
      </c>
      <c r="H670" t="s">
        <v>12</v>
      </c>
      <c r="I670" t="s">
        <v>417</v>
      </c>
      <c r="J670" t="s">
        <v>13</v>
      </c>
      <c r="K670" t="s">
        <v>419</v>
      </c>
    </row>
    <row r="671" spans="1:11">
      <c r="A671" t="s">
        <v>76</v>
      </c>
      <c r="B671" t="s">
        <v>3135</v>
      </c>
      <c r="C671" t="s">
        <v>3136</v>
      </c>
      <c r="D671" s="95">
        <f>Prices!$J$13</f>
        <v>188.40816326530611</v>
      </c>
      <c r="F671">
        <v>0</v>
      </c>
      <c r="G671" t="s">
        <v>3137</v>
      </c>
      <c r="I671" t="s">
        <v>3136</v>
      </c>
      <c r="J671" t="s">
        <v>1610</v>
      </c>
      <c r="K671" t="s">
        <v>3138</v>
      </c>
    </row>
    <row r="672" spans="1:11">
      <c r="A672" t="s">
        <v>10</v>
      </c>
      <c r="B672" t="s">
        <v>2460</v>
      </c>
      <c r="C672" t="s">
        <v>2461</v>
      </c>
      <c r="D672" s="95">
        <f>Prices!$J$13</f>
        <v>188.40816326530611</v>
      </c>
      <c r="F672">
        <v>0</v>
      </c>
      <c r="G672" t="s">
        <v>2462</v>
      </c>
      <c r="I672" t="s">
        <v>2461</v>
      </c>
      <c r="J672" t="s">
        <v>1610</v>
      </c>
      <c r="K672" t="s">
        <v>2463</v>
      </c>
    </row>
    <row r="673" spans="1:11" ht="30">
      <c r="A673" t="s">
        <v>10</v>
      </c>
      <c r="B673" s="1" t="s">
        <v>2694</v>
      </c>
      <c r="C673" t="s">
        <v>2695</v>
      </c>
      <c r="D673" s="95">
        <f>Prices!$J$13</f>
        <v>188.40816326530611</v>
      </c>
      <c r="F673">
        <v>574.59</v>
      </c>
      <c r="G673" t="s">
        <v>2696</v>
      </c>
      <c r="H673" t="s">
        <v>12</v>
      </c>
      <c r="I673" t="s">
        <v>2695</v>
      </c>
      <c r="J673" t="s">
        <v>1610</v>
      </c>
      <c r="K673" t="s">
        <v>2697</v>
      </c>
    </row>
    <row r="674" spans="1:11">
      <c r="A674" t="s">
        <v>23</v>
      </c>
      <c r="B674" t="s">
        <v>380</v>
      </c>
      <c r="C674" t="s">
        <v>381</v>
      </c>
      <c r="D674" s="95">
        <f>Prices!$J$13</f>
        <v>188.40816326530611</v>
      </c>
      <c r="F674">
        <v>30.5</v>
      </c>
      <c r="G674" t="s">
        <v>382</v>
      </c>
      <c r="H674" t="s">
        <v>12</v>
      </c>
      <c r="I674" t="s">
        <v>381</v>
      </c>
      <c r="J674" t="s">
        <v>13</v>
      </c>
      <c r="K674" t="s">
        <v>383</v>
      </c>
    </row>
    <row r="675" spans="1:11">
      <c r="A675" t="s">
        <v>10</v>
      </c>
      <c r="B675" t="s">
        <v>3755</v>
      </c>
      <c r="C675" t="s">
        <v>3756</v>
      </c>
      <c r="D675" s="95">
        <f>Prices!$J$13</f>
        <v>188.40816326530611</v>
      </c>
      <c r="F675">
        <v>114.4</v>
      </c>
      <c r="G675" t="s">
        <v>3757</v>
      </c>
      <c r="H675" t="s">
        <v>12</v>
      </c>
      <c r="I675" t="s">
        <v>3756</v>
      </c>
      <c r="J675" t="s">
        <v>1610</v>
      </c>
      <c r="K675" t="s">
        <v>3758</v>
      </c>
    </row>
    <row r="676" spans="1:11">
      <c r="A676" t="s">
        <v>10</v>
      </c>
      <c r="B676" t="s">
        <v>3910</v>
      </c>
      <c r="C676" t="s">
        <v>3911</v>
      </c>
      <c r="D676" s="95">
        <f>Prices!$J$13</f>
        <v>188.40816326530611</v>
      </c>
      <c r="F676">
        <v>438.28</v>
      </c>
      <c r="G676" t="s">
        <v>3912</v>
      </c>
      <c r="H676" t="s">
        <v>12</v>
      </c>
      <c r="I676" t="s">
        <v>3911</v>
      </c>
      <c r="J676" t="s">
        <v>1610</v>
      </c>
    </row>
    <row r="677" spans="1:11">
      <c r="A677" t="s">
        <v>23</v>
      </c>
      <c r="B677" t="s">
        <v>228</v>
      </c>
      <c r="C677" t="s">
        <v>229</v>
      </c>
      <c r="D677" s="95">
        <f>Prices!$J$13</f>
        <v>188.40816326530611</v>
      </c>
      <c r="F677">
        <v>90.72</v>
      </c>
      <c r="G677" t="s">
        <v>230</v>
      </c>
      <c r="H677" t="s">
        <v>12</v>
      </c>
      <c r="I677" t="s">
        <v>229</v>
      </c>
      <c r="J677" t="s">
        <v>13</v>
      </c>
      <c r="K677" t="s">
        <v>231</v>
      </c>
    </row>
    <row r="678" spans="1:11">
      <c r="A678" t="s">
        <v>76</v>
      </c>
      <c r="B678" t="s">
        <v>4622</v>
      </c>
      <c r="C678" t="s">
        <v>4623</v>
      </c>
      <c r="D678" s="95">
        <f>Prices!$J$13</f>
        <v>188.40816326530611</v>
      </c>
      <c r="F678">
        <v>138.16</v>
      </c>
      <c r="G678" t="s">
        <v>4624</v>
      </c>
      <c r="H678" t="s">
        <v>12</v>
      </c>
      <c r="I678" t="s">
        <v>4623</v>
      </c>
      <c r="J678" t="s">
        <v>1610</v>
      </c>
      <c r="K678" t="s">
        <v>4625</v>
      </c>
    </row>
    <row r="679" spans="1:11">
      <c r="A679" t="s">
        <v>10</v>
      </c>
      <c r="B679" t="s">
        <v>2820</v>
      </c>
      <c r="C679" t="s">
        <v>2821</v>
      </c>
      <c r="D679" s="95">
        <f>Prices!$J$13</f>
        <v>188.40816326530611</v>
      </c>
      <c r="F679">
        <v>20.71</v>
      </c>
      <c r="G679" t="s">
        <v>2822</v>
      </c>
      <c r="H679" t="s">
        <v>12</v>
      </c>
      <c r="I679" t="s">
        <v>2821</v>
      </c>
      <c r="J679" t="s">
        <v>1610</v>
      </c>
      <c r="K679" t="s">
        <v>2823</v>
      </c>
    </row>
    <row r="680" spans="1:11">
      <c r="A680" t="s">
        <v>23</v>
      </c>
      <c r="B680" t="s">
        <v>286</v>
      </c>
      <c r="C680" t="s">
        <v>165</v>
      </c>
      <c r="D680" s="95">
        <f>Prices!$J$13</f>
        <v>188.40816326530611</v>
      </c>
      <c r="F680">
        <v>58.86</v>
      </c>
      <c r="G680" t="s">
        <v>287</v>
      </c>
      <c r="H680" t="s">
        <v>12</v>
      </c>
      <c r="I680" t="s">
        <v>165</v>
      </c>
      <c r="J680" t="s">
        <v>13</v>
      </c>
    </row>
    <row r="681" spans="1:11">
      <c r="A681" t="s">
        <v>23</v>
      </c>
      <c r="B681" t="s">
        <v>3495</v>
      </c>
      <c r="C681" t="s">
        <v>3130</v>
      </c>
      <c r="D681" s="95">
        <f>Prices!$J$13</f>
        <v>188.40816326530611</v>
      </c>
      <c r="F681">
        <v>142.63999999999999</v>
      </c>
      <c r="G681" t="s">
        <v>3496</v>
      </c>
      <c r="H681" t="s">
        <v>12</v>
      </c>
      <c r="I681" t="s">
        <v>3130</v>
      </c>
      <c r="J681" t="s">
        <v>1610</v>
      </c>
    </row>
    <row r="682" spans="1:11">
      <c r="A682" t="s">
        <v>23</v>
      </c>
      <c r="B682" t="s">
        <v>2861</v>
      </c>
      <c r="C682" t="s">
        <v>2831</v>
      </c>
      <c r="D682" s="95">
        <f>Prices!$J$13</f>
        <v>188.40816326530611</v>
      </c>
      <c r="F682">
        <v>1</v>
      </c>
      <c r="G682" t="s">
        <v>2862</v>
      </c>
      <c r="I682" t="s">
        <v>2831</v>
      </c>
      <c r="J682" t="s">
        <v>1610</v>
      </c>
    </row>
    <row r="683" spans="1:11">
      <c r="A683" t="s">
        <v>23</v>
      </c>
      <c r="B683" t="s">
        <v>305</v>
      </c>
      <c r="C683" t="s">
        <v>306</v>
      </c>
      <c r="D683" s="95">
        <f>Prices!$J$13</f>
        <v>188.40816326530611</v>
      </c>
      <c r="F683">
        <v>69</v>
      </c>
      <c r="G683" t="s">
        <v>307</v>
      </c>
      <c r="H683" t="s">
        <v>308</v>
      </c>
      <c r="I683" t="s">
        <v>306</v>
      </c>
      <c r="J683" t="s">
        <v>13</v>
      </c>
    </row>
    <row r="684" spans="1:11">
      <c r="A684" t="s">
        <v>10</v>
      </c>
      <c r="B684" t="s">
        <v>2832</v>
      </c>
      <c r="C684" t="s">
        <v>4100</v>
      </c>
      <c r="D684" s="95">
        <f>Prices!$J$13</f>
        <v>188.40816326530611</v>
      </c>
      <c r="F684">
        <v>0.2</v>
      </c>
      <c r="G684" t="s">
        <v>4101</v>
      </c>
      <c r="H684" t="s">
        <v>12</v>
      </c>
      <c r="I684" t="s">
        <v>4100</v>
      </c>
      <c r="J684" t="s">
        <v>1610</v>
      </c>
      <c r="K684" t="s">
        <v>4102</v>
      </c>
    </row>
    <row r="685" spans="1:11">
      <c r="A685" t="s">
        <v>23</v>
      </c>
      <c r="B685" t="s">
        <v>3592</v>
      </c>
      <c r="C685" t="s">
        <v>2622</v>
      </c>
      <c r="D685" s="95">
        <f>Prices!$J$13</f>
        <v>188.40816326530611</v>
      </c>
      <c r="F685">
        <v>23.6</v>
      </c>
      <c r="G685" t="s">
        <v>3593</v>
      </c>
      <c r="H685" t="s">
        <v>12</v>
      </c>
      <c r="I685" t="s">
        <v>2622</v>
      </c>
      <c r="J685" t="s">
        <v>1610</v>
      </c>
    </row>
    <row r="686" spans="1:11">
      <c r="A686" t="s">
        <v>23</v>
      </c>
      <c r="B686" t="s">
        <v>4255</v>
      </c>
      <c r="C686" t="s">
        <v>4256</v>
      </c>
      <c r="D686" s="95">
        <f>Prices!$J$13</f>
        <v>188.40816326530611</v>
      </c>
      <c r="F686">
        <v>48.65</v>
      </c>
      <c r="G686" t="s">
        <v>4257</v>
      </c>
      <c r="H686" t="s">
        <v>12</v>
      </c>
      <c r="I686" t="s">
        <v>4256</v>
      </c>
      <c r="J686" t="s">
        <v>1610</v>
      </c>
      <c r="K686" t="s">
        <v>4258</v>
      </c>
    </row>
    <row r="687" spans="1:11">
      <c r="A687" t="s">
        <v>23</v>
      </c>
      <c r="B687" t="s">
        <v>2740</v>
      </c>
      <c r="C687" t="s">
        <v>2741</v>
      </c>
      <c r="D687" s="95">
        <f>Prices!$J$13</f>
        <v>188.40816326530611</v>
      </c>
      <c r="F687">
        <v>24.28</v>
      </c>
      <c r="G687" t="s">
        <v>2742</v>
      </c>
      <c r="H687" t="s">
        <v>12</v>
      </c>
      <c r="I687" t="s">
        <v>2741</v>
      </c>
      <c r="J687" t="s">
        <v>1610</v>
      </c>
    </row>
    <row r="688" spans="1:11">
      <c r="A688" t="s">
        <v>23</v>
      </c>
      <c r="B688" t="s">
        <v>125</v>
      </c>
      <c r="C688" t="s">
        <v>44</v>
      </c>
      <c r="D688" s="95">
        <f>Prices!$J$13</f>
        <v>188.40816326530611</v>
      </c>
      <c r="F688">
        <v>122.47</v>
      </c>
      <c r="G688" t="s">
        <v>126</v>
      </c>
      <c r="H688" t="s">
        <v>12</v>
      </c>
      <c r="I688" t="s">
        <v>44</v>
      </c>
      <c r="J688" t="s">
        <v>13</v>
      </c>
    </row>
    <row r="689" spans="1:11">
      <c r="A689" t="s">
        <v>23</v>
      </c>
      <c r="B689" t="s">
        <v>3584</v>
      </c>
      <c r="C689" t="s">
        <v>3585</v>
      </c>
      <c r="D689" s="95">
        <f>Prices!$J$13</f>
        <v>188.40816326530611</v>
      </c>
      <c r="F689">
        <v>22.43</v>
      </c>
      <c r="G689" t="s">
        <v>3780</v>
      </c>
      <c r="H689" t="s">
        <v>12</v>
      </c>
      <c r="I689" t="s">
        <v>3585</v>
      </c>
      <c r="J689" t="s">
        <v>1610</v>
      </c>
    </row>
    <row r="690" spans="1:11">
      <c r="A690" t="s">
        <v>76</v>
      </c>
      <c r="B690" t="s">
        <v>4330</v>
      </c>
      <c r="C690" t="s">
        <v>4331</v>
      </c>
      <c r="D690" s="95">
        <f>Prices!$J$13</f>
        <v>188.40816326530611</v>
      </c>
      <c r="F690">
        <v>366.46</v>
      </c>
      <c r="G690" t="s">
        <v>4332</v>
      </c>
      <c r="H690" t="s">
        <v>12</v>
      </c>
      <c r="I690" t="s">
        <v>4331</v>
      </c>
      <c r="J690" t="s">
        <v>1610</v>
      </c>
      <c r="K690" t="s">
        <v>4333</v>
      </c>
    </row>
    <row r="691" spans="1:11">
      <c r="A691" t="s">
        <v>76</v>
      </c>
      <c r="B691" t="s">
        <v>479</v>
      </c>
      <c r="C691" t="s">
        <v>480</v>
      </c>
      <c r="D691" s="95">
        <f>Prices!$J$13</f>
        <v>188.40816326530611</v>
      </c>
      <c r="F691">
        <v>451.86</v>
      </c>
      <c r="G691" t="s">
        <v>481</v>
      </c>
      <c r="H691" t="s">
        <v>12</v>
      </c>
      <c r="I691" t="s">
        <v>480</v>
      </c>
      <c r="J691" t="s">
        <v>13</v>
      </c>
      <c r="K691" t="s">
        <v>482</v>
      </c>
    </row>
    <row r="692" spans="1:11">
      <c r="A692" t="s">
        <v>10</v>
      </c>
      <c r="B692" t="s">
        <v>3166</v>
      </c>
      <c r="C692" t="s">
        <v>3167</v>
      </c>
      <c r="D692" s="95">
        <f>Prices!$J$13</f>
        <v>188.40816326530611</v>
      </c>
      <c r="F692">
        <v>5.33</v>
      </c>
      <c r="G692" t="s">
        <v>3795</v>
      </c>
      <c r="H692" t="s">
        <v>12</v>
      </c>
      <c r="I692" t="s">
        <v>3167</v>
      </c>
      <c r="J692" t="s">
        <v>1610</v>
      </c>
      <c r="K692" t="s">
        <v>3796</v>
      </c>
    </row>
    <row r="693" spans="1:11">
      <c r="A693" t="s">
        <v>10</v>
      </c>
      <c r="B693" t="s">
        <v>4626</v>
      </c>
      <c r="C693" t="s">
        <v>4627</v>
      </c>
      <c r="D693" s="95">
        <f>Prices!$J$13</f>
        <v>188.40816326530611</v>
      </c>
      <c r="F693">
        <v>48.67</v>
      </c>
      <c r="G693" t="s">
        <v>4628</v>
      </c>
      <c r="H693" t="s">
        <v>12</v>
      </c>
      <c r="I693" t="s">
        <v>4627</v>
      </c>
      <c r="J693" t="s">
        <v>1610</v>
      </c>
      <c r="K693" t="s">
        <v>4629</v>
      </c>
    </row>
    <row r="694" spans="1:11">
      <c r="A694" t="s">
        <v>76</v>
      </c>
      <c r="B694" t="s">
        <v>639</v>
      </c>
      <c r="C694" t="s">
        <v>640</v>
      </c>
      <c r="D694" s="95">
        <f>Prices!$J$13</f>
        <v>188.40816326530611</v>
      </c>
      <c r="F694">
        <v>0</v>
      </c>
      <c r="G694" t="s">
        <v>641</v>
      </c>
      <c r="I694" t="s">
        <v>640</v>
      </c>
      <c r="J694" t="s">
        <v>13</v>
      </c>
      <c r="K694" t="s">
        <v>642</v>
      </c>
    </row>
    <row r="695" spans="1:11">
      <c r="A695" t="s">
        <v>23</v>
      </c>
      <c r="B695" t="s">
        <v>4162</v>
      </c>
      <c r="C695" t="s">
        <v>4163</v>
      </c>
      <c r="D695" s="95">
        <f>Prices!$J$13</f>
        <v>188.40816326530611</v>
      </c>
      <c r="F695">
        <v>68.87</v>
      </c>
      <c r="G695" t="s">
        <v>4164</v>
      </c>
      <c r="H695" t="s">
        <v>12</v>
      </c>
      <c r="I695" t="s">
        <v>4163</v>
      </c>
      <c r="J695" t="s">
        <v>1610</v>
      </c>
      <c r="K695" t="s">
        <v>4165</v>
      </c>
    </row>
    <row r="696" spans="1:11">
      <c r="A696" t="s">
        <v>23</v>
      </c>
      <c r="B696" t="s">
        <v>4003</v>
      </c>
      <c r="C696" t="s">
        <v>3922</v>
      </c>
      <c r="D696" s="95">
        <f>Prices!$J$13</f>
        <v>188.40816326530611</v>
      </c>
      <c r="F696">
        <v>16.649999999999999</v>
      </c>
      <c r="G696" t="s">
        <v>4004</v>
      </c>
      <c r="H696" t="s">
        <v>12</v>
      </c>
      <c r="I696" t="s">
        <v>3922</v>
      </c>
      <c r="J696" t="s">
        <v>1610</v>
      </c>
      <c r="K696" t="s">
        <v>4005</v>
      </c>
    </row>
    <row r="697" spans="1:11">
      <c r="A697" t="s">
        <v>76</v>
      </c>
      <c r="B697" t="s">
        <v>483</v>
      </c>
      <c r="C697" t="s">
        <v>484</v>
      </c>
      <c r="D697" s="95">
        <f>Prices!$J$13</f>
        <v>188.40816326530611</v>
      </c>
      <c r="F697">
        <v>147.13</v>
      </c>
      <c r="G697" t="s">
        <v>485</v>
      </c>
      <c r="H697" t="s">
        <v>12</v>
      </c>
      <c r="I697" t="s">
        <v>484</v>
      </c>
      <c r="J697" t="s">
        <v>13</v>
      </c>
      <c r="K697" t="s">
        <v>486</v>
      </c>
    </row>
    <row r="698" spans="1:11">
      <c r="A698" t="s">
        <v>76</v>
      </c>
      <c r="B698" t="s">
        <v>3139</v>
      </c>
      <c r="C698" t="s">
        <v>3140</v>
      </c>
      <c r="D698" s="95">
        <f>Prices!$J$13</f>
        <v>188.40816326530611</v>
      </c>
      <c r="F698">
        <v>0</v>
      </c>
      <c r="G698" t="s">
        <v>3141</v>
      </c>
      <c r="I698" t="s">
        <v>3140</v>
      </c>
      <c r="J698" t="s">
        <v>1610</v>
      </c>
      <c r="K698" t="s">
        <v>3142</v>
      </c>
    </row>
    <row r="699" spans="1:11">
      <c r="A699" t="s">
        <v>76</v>
      </c>
      <c r="B699" t="s">
        <v>3004</v>
      </c>
      <c r="C699" t="s">
        <v>3005</v>
      </c>
      <c r="D699" s="95">
        <f>Prices!$J$13</f>
        <v>188.40816326530611</v>
      </c>
      <c r="F699">
        <v>0</v>
      </c>
      <c r="G699" t="s">
        <v>3006</v>
      </c>
      <c r="I699" t="s">
        <v>3005</v>
      </c>
      <c r="J699" t="s">
        <v>1610</v>
      </c>
      <c r="K699" t="s">
        <v>3007</v>
      </c>
    </row>
    <row r="700" spans="1:11">
      <c r="A700" t="s">
        <v>76</v>
      </c>
      <c r="B700" t="s">
        <v>724</v>
      </c>
      <c r="C700" t="s">
        <v>725</v>
      </c>
      <c r="D700" s="95">
        <f>Prices!$J$13</f>
        <v>188.40816326530611</v>
      </c>
      <c r="F700">
        <v>0</v>
      </c>
      <c r="G700" t="s">
        <v>726</v>
      </c>
      <c r="I700" t="s">
        <v>725</v>
      </c>
      <c r="J700" t="s">
        <v>13</v>
      </c>
      <c r="K700" t="s">
        <v>727</v>
      </c>
    </row>
    <row r="701" spans="1:11">
      <c r="A701" t="s">
        <v>76</v>
      </c>
      <c r="B701" t="s">
        <v>3307</v>
      </c>
      <c r="C701" t="s">
        <v>3308</v>
      </c>
      <c r="D701" s="95">
        <f>Prices!$J$13</f>
        <v>188.40816326530611</v>
      </c>
      <c r="F701">
        <v>0</v>
      </c>
      <c r="G701" t="s">
        <v>3309</v>
      </c>
      <c r="I701" t="s">
        <v>3308</v>
      </c>
      <c r="J701" t="s">
        <v>1610</v>
      </c>
      <c r="K701" t="s">
        <v>3310</v>
      </c>
    </row>
    <row r="702" spans="1:11">
      <c r="A702" t="s">
        <v>23</v>
      </c>
      <c r="B702" t="s">
        <v>4144</v>
      </c>
      <c r="C702" t="s">
        <v>4145</v>
      </c>
      <c r="D702" s="95">
        <f>Prices!$J$13</f>
        <v>188.40816326530611</v>
      </c>
      <c r="F702">
        <v>53.65</v>
      </c>
      <c r="G702" t="s">
        <v>4146</v>
      </c>
      <c r="H702" t="s">
        <v>12</v>
      </c>
      <c r="I702" t="s">
        <v>4145</v>
      </c>
      <c r="J702" t="s">
        <v>1610</v>
      </c>
    </row>
    <row r="703" spans="1:11">
      <c r="A703" t="s">
        <v>76</v>
      </c>
      <c r="B703" t="s">
        <v>756</v>
      </c>
      <c r="C703" t="s">
        <v>757</v>
      </c>
      <c r="D703" s="95">
        <f>Prices!$J$13</f>
        <v>188.40816326530611</v>
      </c>
      <c r="F703">
        <v>0</v>
      </c>
      <c r="G703" t="s">
        <v>758</v>
      </c>
      <c r="I703" t="s">
        <v>757</v>
      </c>
      <c r="J703" t="s">
        <v>13</v>
      </c>
      <c r="K703" t="s">
        <v>759</v>
      </c>
    </row>
    <row r="704" spans="1:11" ht="30">
      <c r="A704" t="s">
        <v>10</v>
      </c>
      <c r="B704" s="1" t="s">
        <v>194</v>
      </c>
      <c r="C704" t="s">
        <v>195</v>
      </c>
      <c r="D704" s="95">
        <f>Prices!$J$13</f>
        <v>188.40816326530611</v>
      </c>
      <c r="F704">
        <v>18.18</v>
      </c>
      <c r="G704" t="s">
        <v>196</v>
      </c>
      <c r="H704" t="s">
        <v>12</v>
      </c>
      <c r="I704" t="s">
        <v>195</v>
      </c>
      <c r="J704" t="s">
        <v>13</v>
      </c>
    </row>
    <row r="705" spans="1:11">
      <c r="A705" t="s">
        <v>76</v>
      </c>
      <c r="B705" t="s">
        <v>3294</v>
      </c>
      <c r="C705" t="s">
        <v>3295</v>
      </c>
      <c r="D705" s="95">
        <f>Prices!$J$13</f>
        <v>188.40816326530611</v>
      </c>
      <c r="F705">
        <v>0</v>
      </c>
      <c r="G705" t="s">
        <v>3296</v>
      </c>
      <c r="I705" t="s">
        <v>3295</v>
      </c>
      <c r="J705" t="s">
        <v>1610</v>
      </c>
      <c r="K705" t="s">
        <v>3297</v>
      </c>
    </row>
    <row r="706" spans="1:11">
      <c r="A706" t="s">
        <v>76</v>
      </c>
      <c r="B706" t="s">
        <v>4630</v>
      </c>
      <c r="C706" t="s">
        <v>4631</v>
      </c>
      <c r="D706" s="95">
        <f>Prices!$J$13</f>
        <v>188.40816326530611</v>
      </c>
      <c r="F706">
        <v>55.89</v>
      </c>
      <c r="G706" t="s">
        <v>4632</v>
      </c>
      <c r="H706" t="s">
        <v>12</v>
      </c>
      <c r="I706" t="s">
        <v>4631</v>
      </c>
      <c r="J706" t="s">
        <v>1610</v>
      </c>
      <c r="K706" t="s">
        <v>4633</v>
      </c>
    </row>
    <row r="707" spans="1:11">
      <c r="A707" t="s">
        <v>23</v>
      </c>
      <c r="B707" t="s">
        <v>2995</v>
      </c>
      <c r="C707" t="s">
        <v>2996</v>
      </c>
      <c r="D707" s="95">
        <f>Prices!$J$13</f>
        <v>188.40816326530611</v>
      </c>
      <c r="F707">
        <v>41.76</v>
      </c>
      <c r="G707" t="s">
        <v>3526</v>
      </c>
      <c r="H707" t="s">
        <v>12</v>
      </c>
      <c r="I707" t="s">
        <v>2996</v>
      </c>
      <c r="J707" t="s">
        <v>1610</v>
      </c>
      <c r="K707" t="s">
        <v>3527</v>
      </c>
    </row>
    <row r="708" spans="1:11">
      <c r="A708" t="s">
        <v>76</v>
      </c>
      <c r="B708" t="s">
        <v>4634</v>
      </c>
      <c r="C708" t="s">
        <v>4635</v>
      </c>
      <c r="D708" s="95">
        <f>Prices!$J$13</f>
        <v>188.40816326530611</v>
      </c>
      <c r="F708">
        <v>262.31</v>
      </c>
      <c r="G708" t="s">
        <v>4636</v>
      </c>
      <c r="H708" t="s">
        <v>12</v>
      </c>
      <c r="I708" t="s">
        <v>4635</v>
      </c>
      <c r="J708" t="s">
        <v>1610</v>
      </c>
      <c r="K708" t="s">
        <v>4637</v>
      </c>
    </row>
    <row r="709" spans="1:11">
      <c r="A709" t="s">
        <v>76</v>
      </c>
      <c r="B709" t="s">
        <v>317</v>
      </c>
      <c r="C709" t="s">
        <v>318</v>
      </c>
      <c r="D709" s="95">
        <f>Prices!$J$13</f>
        <v>188.40816326530611</v>
      </c>
      <c r="F709">
        <v>82.69</v>
      </c>
      <c r="G709" t="s">
        <v>319</v>
      </c>
      <c r="H709" t="s">
        <v>12</v>
      </c>
      <c r="I709" t="s">
        <v>318</v>
      </c>
      <c r="J709" t="s">
        <v>13</v>
      </c>
      <c r="K709" t="s">
        <v>320</v>
      </c>
    </row>
    <row r="710" spans="1:11">
      <c r="A710" t="s">
        <v>76</v>
      </c>
      <c r="B710" t="s">
        <v>4642</v>
      </c>
      <c r="C710" t="s">
        <v>4643</v>
      </c>
      <c r="D710" s="95">
        <f>Prices!$J$13</f>
        <v>188.40816326530611</v>
      </c>
      <c r="F710">
        <v>0.21</v>
      </c>
      <c r="G710" t="s">
        <v>4644</v>
      </c>
      <c r="H710" t="s">
        <v>12</v>
      </c>
      <c r="I710" t="s">
        <v>4643</v>
      </c>
      <c r="J710" t="s">
        <v>1610</v>
      </c>
      <c r="K710" t="s">
        <v>4645</v>
      </c>
    </row>
    <row r="711" spans="1:11">
      <c r="A711" t="s">
        <v>76</v>
      </c>
      <c r="B711" t="s">
        <v>4638</v>
      </c>
      <c r="C711" t="s">
        <v>4639</v>
      </c>
      <c r="D711" s="95">
        <f>Prices!$J$13</f>
        <v>188.40816326530611</v>
      </c>
      <c r="F711">
        <v>414.32</v>
      </c>
      <c r="G711" t="s">
        <v>4640</v>
      </c>
      <c r="H711" t="s">
        <v>12</v>
      </c>
      <c r="I711" t="s">
        <v>4639</v>
      </c>
      <c r="J711" t="s">
        <v>1610</v>
      </c>
      <c r="K711" t="s">
        <v>4641</v>
      </c>
    </row>
    <row r="712" spans="1:11">
      <c r="A712" t="s">
        <v>76</v>
      </c>
      <c r="B712" t="s">
        <v>503</v>
      </c>
      <c r="C712" t="s">
        <v>504</v>
      </c>
      <c r="D712" s="95">
        <f>Prices!$J$13</f>
        <v>188.40816326530611</v>
      </c>
      <c r="F712">
        <v>173.87</v>
      </c>
      <c r="G712" t="s">
        <v>505</v>
      </c>
      <c r="H712" t="s">
        <v>12</v>
      </c>
      <c r="I712" t="s">
        <v>504</v>
      </c>
      <c r="J712" t="s">
        <v>13</v>
      </c>
      <c r="K712" t="s">
        <v>506</v>
      </c>
    </row>
    <row r="713" spans="1:11">
      <c r="A713" t="s">
        <v>76</v>
      </c>
      <c r="B713" t="s">
        <v>3021</v>
      </c>
      <c r="C713" t="s">
        <v>3022</v>
      </c>
      <c r="D713" s="95">
        <f>Prices!$J$13</f>
        <v>188.40816326530611</v>
      </c>
      <c r="F713">
        <v>0</v>
      </c>
      <c r="G713" t="s">
        <v>3023</v>
      </c>
      <c r="I713" t="s">
        <v>3022</v>
      </c>
      <c r="J713" t="s">
        <v>1610</v>
      </c>
      <c r="K713" t="s">
        <v>3024</v>
      </c>
    </row>
    <row r="714" spans="1:11">
      <c r="A714" t="s">
        <v>76</v>
      </c>
      <c r="B714" t="s">
        <v>93</v>
      </c>
      <c r="C714" t="s">
        <v>94</v>
      </c>
      <c r="D714" s="95">
        <f>Prices!$J$13</f>
        <v>188.40816326530611</v>
      </c>
      <c r="F714">
        <v>0</v>
      </c>
      <c r="G714" t="s">
        <v>95</v>
      </c>
      <c r="I714" t="s">
        <v>94</v>
      </c>
      <c r="J714" t="s">
        <v>13</v>
      </c>
      <c r="K714" t="s">
        <v>96</v>
      </c>
    </row>
    <row r="715" spans="1:11">
      <c r="A715" t="s">
        <v>76</v>
      </c>
      <c r="B715" t="s">
        <v>3184</v>
      </c>
      <c r="C715" t="s">
        <v>3185</v>
      </c>
      <c r="D715" s="95">
        <f>Prices!$J$13</f>
        <v>188.40816326530611</v>
      </c>
      <c r="F715">
        <v>0</v>
      </c>
      <c r="G715" t="s">
        <v>3186</v>
      </c>
      <c r="I715" t="s">
        <v>3185</v>
      </c>
      <c r="J715" t="s">
        <v>1610</v>
      </c>
      <c r="K715" t="s">
        <v>1721</v>
      </c>
    </row>
    <row r="716" spans="1:11">
      <c r="A716" t="s">
        <v>76</v>
      </c>
      <c r="B716" t="s">
        <v>599</v>
      </c>
      <c r="C716" t="s">
        <v>600</v>
      </c>
      <c r="D716" s="95">
        <f>Prices!$J$13</f>
        <v>188.40816326530611</v>
      </c>
      <c r="F716">
        <v>0</v>
      </c>
      <c r="G716" t="s">
        <v>601</v>
      </c>
      <c r="I716" t="s">
        <v>600</v>
      </c>
      <c r="J716" t="s">
        <v>13</v>
      </c>
      <c r="K716" t="s">
        <v>602</v>
      </c>
    </row>
    <row r="717" spans="1:11">
      <c r="A717" t="s">
        <v>76</v>
      </c>
      <c r="B717" t="s">
        <v>2424</v>
      </c>
      <c r="C717" t="s">
        <v>2425</v>
      </c>
      <c r="D717" s="95">
        <f>Prices!$J$15</f>
        <v>190.74380165289256</v>
      </c>
      <c r="F717">
        <v>102.36</v>
      </c>
      <c r="G717" t="s">
        <v>2426</v>
      </c>
      <c r="H717" t="s">
        <v>12</v>
      </c>
      <c r="I717" t="s">
        <v>2425</v>
      </c>
      <c r="J717" t="s">
        <v>1610</v>
      </c>
      <c r="K717" t="s">
        <v>2427</v>
      </c>
    </row>
    <row r="718" spans="1:11">
      <c r="A718" t="s">
        <v>76</v>
      </c>
      <c r="B718" t="s">
        <v>4854</v>
      </c>
      <c r="C718" t="s">
        <v>4855</v>
      </c>
      <c r="D718" s="95">
        <f>Prices!$J$15</f>
        <v>190.74380165289256</v>
      </c>
      <c r="F718">
        <v>10.97</v>
      </c>
      <c r="G718" t="s">
        <v>4856</v>
      </c>
      <c r="H718" t="s">
        <v>12</v>
      </c>
      <c r="I718" t="s">
        <v>4855</v>
      </c>
      <c r="J718" t="s">
        <v>1610</v>
      </c>
      <c r="K718" t="s">
        <v>4857</v>
      </c>
    </row>
    <row r="719" spans="1:11">
      <c r="A719" t="s">
        <v>76</v>
      </c>
      <c r="B719" t="s">
        <v>4858</v>
      </c>
      <c r="C719" t="s">
        <v>4859</v>
      </c>
      <c r="D719" s="95">
        <f>Prices!$J$15</f>
        <v>190.74380165289256</v>
      </c>
      <c r="F719">
        <v>41.74</v>
      </c>
      <c r="G719" t="s">
        <v>4860</v>
      </c>
      <c r="H719" t="s">
        <v>12</v>
      </c>
      <c r="I719" t="s">
        <v>4859</v>
      </c>
      <c r="J719" t="s">
        <v>1610</v>
      </c>
      <c r="K719" t="s">
        <v>4861</v>
      </c>
    </row>
    <row r="720" spans="1:11">
      <c r="A720" t="s">
        <v>76</v>
      </c>
      <c r="B720" t="s">
        <v>4862</v>
      </c>
      <c r="C720" t="s">
        <v>4863</v>
      </c>
      <c r="D720" s="95">
        <f>Prices!$J$15</f>
        <v>190.74380165289256</v>
      </c>
      <c r="F720">
        <v>124.08</v>
      </c>
      <c r="G720" t="s">
        <v>4864</v>
      </c>
      <c r="H720" t="s">
        <v>12</v>
      </c>
      <c r="I720" t="s">
        <v>4863</v>
      </c>
      <c r="J720" t="s">
        <v>1610</v>
      </c>
      <c r="K720" t="s">
        <v>4865</v>
      </c>
    </row>
    <row r="721" spans="1:11">
      <c r="A721" t="s">
        <v>76</v>
      </c>
      <c r="B721" t="s">
        <v>2198</v>
      </c>
      <c r="C721" t="s">
        <v>2199</v>
      </c>
      <c r="D721" s="95">
        <f>Prices!$J$15</f>
        <v>190.74380165289256</v>
      </c>
      <c r="F721">
        <v>33.119999999999997</v>
      </c>
      <c r="G721" t="s">
        <v>2200</v>
      </c>
      <c r="H721" t="s">
        <v>12</v>
      </c>
      <c r="I721" t="s">
        <v>2199</v>
      </c>
      <c r="J721" t="s">
        <v>1610</v>
      </c>
      <c r="K721" t="s">
        <v>2201</v>
      </c>
    </row>
    <row r="722" spans="1:11">
      <c r="A722" t="s">
        <v>76</v>
      </c>
      <c r="B722" t="s">
        <v>2917</v>
      </c>
      <c r="C722" t="s">
        <v>2918</v>
      </c>
      <c r="D722" s="95">
        <f>Prices!$J$15</f>
        <v>190.74380165289256</v>
      </c>
      <c r="F722">
        <v>0</v>
      </c>
      <c r="G722" t="s">
        <v>2919</v>
      </c>
      <c r="I722" t="s">
        <v>2918</v>
      </c>
      <c r="J722" t="s">
        <v>1610</v>
      </c>
      <c r="K722" t="s">
        <v>2920</v>
      </c>
    </row>
    <row r="723" spans="1:11">
      <c r="A723" t="s">
        <v>76</v>
      </c>
      <c r="B723" t="s">
        <v>4668</v>
      </c>
      <c r="C723" t="s">
        <v>4669</v>
      </c>
      <c r="D723" s="95">
        <f>Prices!$J$15</f>
        <v>190.74380165289256</v>
      </c>
      <c r="F723">
        <v>79.8</v>
      </c>
      <c r="G723" t="s">
        <v>4670</v>
      </c>
      <c r="H723" t="s">
        <v>12</v>
      </c>
      <c r="I723" t="s">
        <v>4669</v>
      </c>
      <c r="J723" t="s">
        <v>1610</v>
      </c>
      <c r="K723" t="s">
        <v>4671</v>
      </c>
    </row>
    <row r="724" spans="1:11">
      <c r="A724" t="s">
        <v>76</v>
      </c>
      <c r="B724" t="s">
        <v>4866</v>
      </c>
      <c r="C724" t="s">
        <v>4867</v>
      </c>
      <c r="D724" s="95">
        <f>Prices!$J$15</f>
        <v>190.74380165289256</v>
      </c>
      <c r="F724">
        <v>9.31</v>
      </c>
      <c r="G724" t="s">
        <v>4868</v>
      </c>
      <c r="H724" t="s">
        <v>12</v>
      </c>
      <c r="I724" t="s">
        <v>4867</v>
      </c>
      <c r="J724" t="s">
        <v>1610</v>
      </c>
      <c r="K724" t="s">
        <v>4869</v>
      </c>
    </row>
    <row r="725" spans="1:11">
      <c r="A725" t="s">
        <v>76</v>
      </c>
      <c r="B725" t="s">
        <v>3337</v>
      </c>
      <c r="C725" t="s">
        <v>3338</v>
      </c>
      <c r="D725" s="95">
        <f>Prices!$J$15</f>
        <v>190.74380165289256</v>
      </c>
      <c r="F725">
        <v>0</v>
      </c>
      <c r="G725" t="s">
        <v>3339</v>
      </c>
      <c r="I725" t="s">
        <v>3338</v>
      </c>
      <c r="J725" t="s">
        <v>1610</v>
      </c>
      <c r="K725" t="s">
        <v>3340</v>
      </c>
    </row>
    <row r="726" spans="1:11">
      <c r="A726" t="s">
        <v>10</v>
      </c>
      <c r="B726" t="s">
        <v>4870</v>
      </c>
      <c r="C726" t="s">
        <v>4871</v>
      </c>
      <c r="D726" s="95">
        <f>Prices!$J$15</f>
        <v>190.74380165289256</v>
      </c>
      <c r="F726">
        <v>5.28</v>
      </c>
      <c r="G726" t="s">
        <v>4872</v>
      </c>
      <c r="H726" t="s">
        <v>12</v>
      </c>
      <c r="I726" t="s">
        <v>4871</v>
      </c>
      <c r="J726" t="s">
        <v>1610</v>
      </c>
      <c r="K726" t="s">
        <v>4873</v>
      </c>
    </row>
    <row r="727" spans="1:11">
      <c r="A727" t="s">
        <v>76</v>
      </c>
      <c r="B727" t="s">
        <v>4672</v>
      </c>
      <c r="C727" t="s">
        <v>4673</v>
      </c>
      <c r="D727" s="95">
        <f>Prices!$J$15</f>
        <v>190.74380165289256</v>
      </c>
      <c r="F727">
        <v>47.73</v>
      </c>
      <c r="G727" t="s">
        <v>4674</v>
      </c>
      <c r="H727" t="s">
        <v>12</v>
      </c>
      <c r="I727" t="s">
        <v>4673</v>
      </c>
      <c r="J727" t="s">
        <v>1610</v>
      </c>
      <c r="K727" t="s">
        <v>4675</v>
      </c>
    </row>
    <row r="728" spans="1:11">
      <c r="A728" t="s">
        <v>76</v>
      </c>
      <c r="B728" t="s">
        <v>4676</v>
      </c>
      <c r="C728" t="s">
        <v>4677</v>
      </c>
      <c r="D728" s="95">
        <f>Prices!$J$15</f>
        <v>190.74380165289256</v>
      </c>
      <c r="F728">
        <v>3.98</v>
      </c>
      <c r="G728" t="s">
        <v>4678</v>
      </c>
      <c r="H728" t="s">
        <v>12</v>
      </c>
      <c r="I728" t="s">
        <v>4677</v>
      </c>
      <c r="J728" t="s">
        <v>1610</v>
      </c>
      <c r="K728" t="s">
        <v>4679</v>
      </c>
    </row>
    <row r="729" spans="1:11">
      <c r="A729" t="s">
        <v>10</v>
      </c>
      <c r="B729" t="s">
        <v>3686</v>
      </c>
      <c r="C729" t="s">
        <v>3687</v>
      </c>
      <c r="D729" s="95">
        <f>Prices!$J$15</f>
        <v>190.74380165289256</v>
      </c>
      <c r="F729">
        <v>2.52</v>
      </c>
      <c r="G729" t="s">
        <v>3688</v>
      </c>
      <c r="H729" t="s">
        <v>12</v>
      </c>
      <c r="I729" t="s">
        <v>3687</v>
      </c>
      <c r="J729" t="s">
        <v>1610</v>
      </c>
    </row>
    <row r="730" spans="1:11">
      <c r="A730" t="s">
        <v>76</v>
      </c>
      <c r="B730" t="s">
        <v>4680</v>
      </c>
      <c r="C730" t="s">
        <v>4681</v>
      </c>
      <c r="D730" s="95">
        <f>Prices!$J$15</f>
        <v>190.74380165289256</v>
      </c>
      <c r="F730">
        <v>54.69</v>
      </c>
      <c r="G730" t="s">
        <v>4682</v>
      </c>
      <c r="H730" t="s">
        <v>12</v>
      </c>
      <c r="I730" t="s">
        <v>4681</v>
      </c>
      <c r="J730" t="s">
        <v>1610</v>
      </c>
      <c r="K730" t="s">
        <v>4683</v>
      </c>
    </row>
    <row r="731" spans="1:11">
      <c r="A731" t="s">
        <v>10</v>
      </c>
      <c r="B731" t="s">
        <v>4684</v>
      </c>
      <c r="C731" t="s">
        <v>4685</v>
      </c>
      <c r="D731" s="95">
        <f>Prices!$J$15</f>
        <v>190.74380165289256</v>
      </c>
      <c r="F731">
        <v>70.790000000000006</v>
      </c>
      <c r="G731" t="s">
        <v>4686</v>
      </c>
      <c r="H731" t="s">
        <v>12</v>
      </c>
      <c r="I731" t="s">
        <v>4685</v>
      </c>
      <c r="J731" t="s">
        <v>1610</v>
      </c>
      <c r="K731" t="s">
        <v>4687</v>
      </c>
    </row>
    <row r="732" spans="1:11">
      <c r="A732" t="s">
        <v>10</v>
      </c>
      <c r="B732" t="s">
        <v>3991</v>
      </c>
      <c r="C732" t="s">
        <v>3992</v>
      </c>
      <c r="D732" s="95">
        <f>Prices!$J$15</f>
        <v>190.74380165289256</v>
      </c>
      <c r="F732">
        <v>13.65</v>
      </c>
      <c r="G732" t="s">
        <v>3993</v>
      </c>
      <c r="H732" t="s">
        <v>12</v>
      </c>
      <c r="I732" t="s">
        <v>3992</v>
      </c>
      <c r="J732" t="s">
        <v>1610</v>
      </c>
    </row>
    <row r="733" spans="1:11">
      <c r="A733" t="s">
        <v>76</v>
      </c>
      <c r="B733" t="s">
        <v>3282</v>
      </c>
      <c r="C733" t="s">
        <v>3283</v>
      </c>
      <c r="D733" s="95">
        <f>Prices!$J$15</f>
        <v>190.74380165289256</v>
      </c>
      <c r="F733">
        <v>0</v>
      </c>
      <c r="G733" t="s">
        <v>3284</v>
      </c>
      <c r="I733" t="s">
        <v>3283</v>
      </c>
      <c r="J733" t="s">
        <v>1610</v>
      </c>
      <c r="K733" t="s">
        <v>3285</v>
      </c>
    </row>
    <row r="734" spans="1:11">
      <c r="A734" t="s">
        <v>76</v>
      </c>
      <c r="B734" t="s">
        <v>3407</v>
      </c>
      <c r="C734" t="s">
        <v>3408</v>
      </c>
      <c r="D734" s="95">
        <f>Prices!$J$15</f>
        <v>190.74380165289256</v>
      </c>
      <c r="F734">
        <v>0</v>
      </c>
      <c r="G734" t="s">
        <v>3409</v>
      </c>
      <c r="I734" t="s">
        <v>3408</v>
      </c>
      <c r="J734" t="s">
        <v>1610</v>
      </c>
      <c r="K734" t="s">
        <v>3410</v>
      </c>
    </row>
    <row r="735" spans="1:11">
      <c r="A735" t="s">
        <v>10</v>
      </c>
      <c r="B735" t="s">
        <v>4067</v>
      </c>
      <c r="C735" t="s">
        <v>4068</v>
      </c>
      <c r="D735" s="95">
        <f>Prices!$J$15</f>
        <v>190.74380165289256</v>
      </c>
      <c r="F735">
        <v>11.66</v>
      </c>
      <c r="G735" t="s">
        <v>4069</v>
      </c>
      <c r="H735" t="s">
        <v>12</v>
      </c>
      <c r="I735" t="s">
        <v>4068</v>
      </c>
      <c r="J735" t="s">
        <v>1610</v>
      </c>
      <c r="K735" t="s">
        <v>4070</v>
      </c>
    </row>
    <row r="736" spans="1:11">
      <c r="A736" t="s">
        <v>10</v>
      </c>
      <c r="B736" t="s">
        <v>4205</v>
      </c>
      <c r="C736" t="s">
        <v>4206</v>
      </c>
      <c r="D736" s="95">
        <f>Prices!$J$15</f>
        <v>190.74380165289256</v>
      </c>
      <c r="F736">
        <v>36.94</v>
      </c>
      <c r="G736" t="s">
        <v>4207</v>
      </c>
      <c r="H736" t="s">
        <v>12</v>
      </c>
      <c r="I736" t="s">
        <v>4206</v>
      </c>
      <c r="J736" t="s">
        <v>1610</v>
      </c>
    </row>
    <row r="737" spans="1:11">
      <c r="A737" t="s">
        <v>76</v>
      </c>
      <c r="B737" t="s">
        <v>3229</v>
      </c>
      <c r="C737" t="s">
        <v>3230</v>
      </c>
      <c r="D737" s="95">
        <f>Prices!$J$15</f>
        <v>190.74380165289256</v>
      </c>
      <c r="F737">
        <v>0</v>
      </c>
      <c r="G737" t="s">
        <v>3231</v>
      </c>
      <c r="I737" t="s">
        <v>3230</v>
      </c>
      <c r="J737" t="s">
        <v>1610</v>
      </c>
      <c r="K737" t="s">
        <v>3232</v>
      </c>
    </row>
    <row r="738" spans="1:11">
      <c r="A738" t="s">
        <v>10</v>
      </c>
      <c r="B738" t="s">
        <v>3129</v>
      </c>
      <c r="C738" t="s">
        <v>4024</v>
      </c>
      <c r="D738" s="95">
        <f>Prices!$J$15</f>
        <v>190.74380165289256</v>
      </c>
      <c r="F738">
        <v>35.119999999999997</v>
      </c>
      <c r="G738" t="s">
        <v>4025</v>
      </c>
      <c r="H738" t="s">
        <v>12</v>
      </c>
      <c r="I738" t="s">
        <v>4024</v>
      </c>
      <c r="J738" t="s">
        <v>1610</v>
      </c>
      <c r="K738" t="s">
        <v>2835</v>
      </c>
    </row>
    <row r="739" spans="1:11">
      <c r="A739" t="s">
        <v>10</v>
      </c>
      <c r="B739" t="s">
        <v>3858</v>
      </c>
      <c r="C739" t="s">
        <v>3859</v>
      </c>
      <c r="D739" s="95">
        <f>Prices!$J$15</f>
        <v>190.74380165289256</v>
      </c>
      <c r="F739">
        <v>9.68</v>
      </c>
      <c r="G739" t="s">
        <v>3860</v>
      </c>
      <c r="H739" t="s">
        <v>2595</v>
      </c>
      <c r="I739" t="s">
        <v>3859</v>
      </c>
      <c r="J739" t="s">
        <v>1610</v>
      </c>
    </row>
    <row r="740" spans="1:11">
      <c r="A740" t="s">
        <v>10</v>
      </c>
      <c r="B740" t="s">
        <v>2832</v>
      </c>
      <c r="C740" t="s">
        <v>2833</v>
      </c>
      <c r="D740" s="95">
        <f>Prices!$J$15</f>
        <v>190.74380165289256</v>
      </c>
      <c r="F740">
        <v>20.6</v>
      </c>
      <c r="G740" t="s">
        <v>2834</v>
      </c>
      <c r="H740" t="s">
        <v>12</v>
      </c>
      <c r="I740" t="s">
        <v>2833</v>
      </c>
      <c r="J740" t="s">
        <v>1610</v>
      </c>
      <c r="K740" t="s">
        <v>2835</v>
      </c>
    </row>
    <row r="741" spans="1:11">
      <c r="A741" t="s">
        <v>76</v>
      </c>
      <c r="B741" t="s">
        <v>4830</v>
      </c>
      <c r="C741" t="s">
        <v>4831</v>
      </c>
      <c r="D741" s="95">
        <f>Prices!$J$15</f>
        <v>190.74380165289256</v>
      </c>
      <c r="F741">
        <v>215.07</v>
      </c>
      <c r="G741" t="s">
        <v>4832</v>
      </c>
      <c r="H741" t="s">
        <v>12</v>
      </c>
      <c r="I741" t="s">
        <v>4831</v>
      </c>
      <c r="J741" t="s">
        <v>1610</v>
      </c>
      <c r="K741" t="s">
        <v>4833</v>
      </c>
    </row>
    <row r="742" spans="1:11">
      <c r="A742" t="s">
        <v>76</v>
      </c>
      <c r="B742" t="s">
        <v>4834</v>
      </c>
      <c r="C742" t="s">
        <v>4835</v>
      </c>
      <c r="D742" s="95">
        <f>Prices!$J$15</f>
        <v>190.74380165289256</v>
      </c>
      <c r="F742">
        <v>53.28</v>
      </c>
      <c r="G742" t="s">
        <v>4836</v>
      </c>
      <c r="H742" t="s">
        <v>12</v>
      </c>
      <c r="I742" t="s">
        <v>4835</v>
      </c>
      <c r="J742" t="s">
        <v>1610</v>
      </c>
      <c r="K742" t="s">
        <v>4837</v>
      </c>
    </row>
    <row r="743" spans="1:11">
      <c r="A743" t="s">
        <v>76</v>
      </c>
      <c r="B743" t="s">
        <v>4838</v>
      </c>
      <c r="C743" t="s">
        <v>4839</v>
      </c>
      <c r="D743" s="95">
        <f>Prices!$J$15</f>
        <v>190.74380165289256</v>
      </c>
      <c r="F743">
        <v>164.36</v>
      </c>
      <c r="G743" t="s">
        <v>4840</v>
      </c>
      <c r="H743" t="s">
        <v>12</v>
      </c>
      <c r="I743" t="s">
        <v>4839</v>
      </c>
      <c r="J743" t="s">
        <v>1610</v>
      </c>
      <c r="K743" t="s">
        <v>4841</v>
      </c>
    </row>
    <row r="744" spans="1:11">
      <c r="A744" t="s">
        <v>76</v>
      </c>
      <c r="B744" t="s">
        <v>2194</v>
      </c>
      <c r="C744" t="s">
        <v>2195</v>
      </c>
      <c r="D744" s="95">
        <f>Prices!$J$15</f>
        <v>190.74380165289256</v>
      </c>
      <c r="F744">
        <v>52.19</v>
      </c>
      <c r="G744" t="s">
        <v>2196</v>
      </c>
      <c r="H744" t="s">
        <v>12</v>
      </c>
      <c r="I744" t="s">
        <v>2195</v>
      </c>
      <c r="J744" t="s">
        <v>1610</v>
      </c>
      <c r="K744" t="s">
        <v>2197</v>
      </c>
    </row>
    <row r="745" spans="1:11">
      <c r="A745" t="s">
        <v>76</v>
      </c>
      <c r="B745" t="s">
        <v>3147</v>
      </c>
      <c r="C745" t="s">
        <v>3148</v>
      </c>
      <c r="D745" s="95">
        <f>Prices!$J$15</f>
        <v>190.74380165289256</v>
      </c>
      <c r="F745">
        <v>0</v>
      </c>
      <c r="G745" t="s">
        <v>3149</v>
      </c>
      <c r="I745" t="s">
        <v>3148</v>
      </c>
      <c r="J745" t="s">
        <v>1610</v>
      </c>
      <c r="K745" t="s">
        <v>3150</v>
      </c>
    </row>
    <row r="746" spans="1:11">
      <c r="A746" t="s">
        <v>10</v>
      </c>
      <c r="B746" t="s">
        <v>3577</v>
      </c>
      <c r="C746" t="s">
        <v>3578</v>
      </c>
      <c r="D746" s="95">
        <f>Prices!$J$15</f>
        <v>190.74380165289256</v>
      </c>
      <c r="F746">
        <v>6.65</v>
      </c>
      <c r="G746" t="s">
        <v>3579</v>
      </c>
      <c r="H746" t="s">
        <v>12</v>
      </c>
      <c r="I746" t="s">
        <v>3578</v>
      </c>
      <c r="J746" t="s">
        <v>1610</v>
      </c>
    </row>
    <row r="747" spans="1:11">
      <c r="A747" t="s">
        <v>76</v>
      </c>
      <c r="B747" t="s">
        <v>4646</v>
      </c>
      <c r="C747" t="s">
        <v>4647</v>
      </c>
      <c r="D747" s="95">
        <f>Prices!$J$15</f>
        <v>190.74380165289256</v>
      </c>
      <c r="F747">
        <v>139.44999999999999</v>
      </c>
      <c r="G747" t="s">
        <v>4648</v>
      </c>
      <c r="H747" t="s">
        <v>12</v>
      </c>
      <c r="I747" t="s">
        <v>4647</v>
      </c>
      <c r="J747" t="s">
        <v>1610</v>
      </c>
      <c r="K747" t="s">
        <v>4649</v>
      </c>
    </row>
    <row r="748" spans="1:11">
      <c r="A748" t="s">
        <v>10</v>
      </c>
      <c r="B748" t="s">
        <v>4105</v>
      </c>
      <c r="C748" t="s">
        <v>4106</v>
      </c>
      <c r="D748" s="95">
        <f>Prices!$J$15</f>
        <v>190.74380165289256</v>
      </c>
      <c r="F748">
        <v>49.74</v>
      </c>
      <c r="G748" t="s">
        <v>4107</v>
      </c>
      <c r="H748" t="s">
        <v>12</v>
      </c>
      <c r="I748" t="s">
        <v>4106</v>
      </c>
      <c r="J748" t="s">
        <v>1610</v>
      </c>
      <c r="K748" t="s">
        <v>4108</v>
      </c>
    </row>
    <row r="749" spans="1:11">
      <c r="A749" t="s">
        <v>76</v>
      </c>
      <c r="B749" t="s">
        <v>4842</v>
      </c>
      <c r="C749" t="s">
        <v>4843</v>
      </c>
      <c r="D749" s="95">
        <f>Prices!$J$15</f>
        <v>190.74380165289256</v>
      </c>
      <c r="F749">
        <v>0.73</v>
      </c>
      <c r="G749" t="s">
        <v>4844</v>
      </c>
      <c r="H749" t="s">
        <v>12</v>
      </c>
      <c r="I749" t="s">
        <v>4843</v>
      </c>
      <c r="J749" t="s">
        <v>1610</v>
      </c>
      <c r="K749" t="s">
        <v>4845</v>
      </c>
    </row>
    <row r="750" spans="1:11">
      <c r="A750" t="s">
        <v>76</v>
      </c>
      <c r="B750" t="s">
        <v>4846</v>
      </c>
      <c r="C750" t="s">
        <v>4847</v>
      </c>
      <c r="D750" s="95">
        <f>Prices!$J$15</f>
        <v>190.74380165289256</v>
      </c>
      <c r="F750">
        <v>1</v>
      </c>
      <c r="G750" t="s">
        <v>4848</v>
      </c>
      <c r="H750" t="s">
        <v>12</v>
      </c>
      <c r="I750" t="s">
        <v>4847</v>
      </c>
      <c r="J750" t="s">
        <v>1610</v>
      </c>
      <c r="K750" t="s">
        <v>4849</v>
      </c>
    </row>
    <row r="751" spans="1:11">
      <c r="A751" t="s">
        <v>10</v>
      </c>
      <c r="B751" t="s">
        <v>2555</v>
      </c>
      <c r="C751" t="s">
        <v>2556</v>
      </c>
      <c r="D751" s="95">
        <f>Prices!$J$15</f>
        <v>190.74380165289256</v>
      </c>
      <c r="F751">
        <v>23.58</v>
      </c>
      <c r="G751" t="s">
        <v>2557</v>
      </c>
      <c r="H751" t="s">
        <v>12</v>
      </c>
      <c r="I751" t="s">
        <v>2556</v>
      </c>
      <c r="J751" t="s">
        <v>1610</v>
      </c>
    </row>
    <row r="752" spans="1:11">
      <c r="A752" t="s">
        <v>76</v>
      </c>
      <c r="B752" t="s">
        <v>4850</v>
      </c>
      <c r="C752" t="s">
        <v>4851</v>
      </c>
      <c r="D752" s="95">
        <f>Prices!$J$15</f>
        <v>190.74380165289256</v>
      </c>
      <c r="F752">
        <v>2.5</v>
      </c>
      <c r="G752" t="s">
        <v>4852</v>
      </c>
      <c r="H752" t="s">
        <v>12</v>
      </c>
      <c r="I752" t="s">
        <v>4851</v>
      </c>
      <c r="J752" t="s">
        <v>1610</v>
      </c>
      <c r="K752" t="s">
        <v>4853</v>
      </c>
    </row>
    <row r="753" spans="1:11">
      <c r="A753" t="s">
        <v>10</v>
      </c>
      <c r="B753" t="s">
        <v>4284</v>
      </c>
      <c r="C753" t="s">
        <v>4285</v>
      </c>
      <c r="D753" s="95">
        <f>Prices!$J$15</f>
        <v>190.74380165289256</v>
      </c>
      <c r="F753">
        <v>5.1100000000000003</v>
      </c>
      <c r="G753" t="s">
        <v>4286</v>
      </c>
      <c r="H753" t="s">
        <v>12</v>
      </c>
      <c r="I753" t="s">
        <v>4285</v>
      </c>
      <c r="J753" t="s">
        <v>1610</v>
      </c>
    </row>
    <row r="754" spans="1:11">
      <c r="A754" t="s">
        <v>76</v>
      </c>
      <c r="B754" t="s">
        <v>4650</v>
      </c>
      <c r="C754" t="s">
        <v>4651</v>
      </c>
      <c r="D754" s="95">
        <f>Prices!$J$15</f>
        <v>190.74380165289256</v>
      </c>
      <c r="F754">
        <v>138.80000000000001</v>
      </c>
      <c r="G754" t="s">
        <v>4652</v>
      </c>
      <c r="H754" t="s">
        <v>12</v>
      </c>
      <c r="I754" t="s">
        <v>4651</v>
      </c>
      <c r="J754" t="s">
        <v>1610</v>
      </c>
      <c r="K754" t="s">
        <v>4653</v>
      </c>
    </row>
    <row r="755" spans="1:11">
      <c r="A755" t="s">
        <v>10</v>
      </c>
      <c r="B755" t="s">
        <v>2642</v>
      </c>
      <c r="C755" t="s">
        <v>2643</v>
      </c>
      <c r="D755" s="95">
        <f>Prices!$J$15</f>
        <v>190.74380165289256</v>
      </c>
      <c r="F755">
        <v>4.1900000000000004</v>
      </c>
      <c r="G755" t="s">
        <v>2644</v>
      </c>
      <c r="H755" t="s">
        <v>12</v>
      </c>
      <c r="I755" t="s">
        <v>2643</v>
      </c>
      <c r="J755" t="s">
        <v>1610</v>
      </c>
      <c r="K755" t="s">
        <v>2645</v>
      </c>
    </row>
    <row r="756" spans="1:11">
      <c r="A756" t="s">
        <v>76</v>
      </c>
      <c r="B756" t="s">
        <v>4006</v>
      </c>
      <c r="C756" t="s">
        <v>4654</v>
      </c>
      <c r="D756" s="95">
        <f>Prices!$J$15</f>
        <v>190.74380165289256</v>
      </c>
      <c r="F756">
        <v>174.14</v>
      </c>
      <c r="G756" t="s">
        <v>4655</v>
      </c>
      <c r="H756" t="s">
        <v>12</v>
      </c>
      <c r="I756" t="s">
        <v>4654</v>
      </c>
      <c r="J756" t="s">
        <v>1610</v>
      </c>
      <c r="K756" t="s">
        <v>4009</v>
      </c>
    </row>
    <row r="757" spans="1:11">
      <c r="A757" t="s">
        <v>10</v>
      </c>
      <c r="B757" t="s">
        <v>2636</v>
      </c>
      <c r="C757" t="s">
        <v>2637</v>
      </c>
      <c r="D757" s="95">
        <f>Prices!$J$15</f>
        <v>190.74380165289256</v>
      </c>
      <c r="F757">
        <v>75.790000000000006</v>
      </c>
      <c r="G757" t="s">
        <v>2638</v>
      </c>
      <c r="H757" t="s">
        <v>12</v>
      </c>
      <c r="I757" t="s">
        <v>2637</v>
      </c>
      <c r="J757" t="s">
        <v>1610</v>
      </c>
      <c r="K757" t="s">
        <v>2639</v>
      </c>
    </row>
    <row r="758" spans="1:11">
      <c r="A758" t="s">
        <v>76</v>
      </c>
      <c r="B758" t="s">
        <v>4656</v>
      </c>
      <c r="C758" t="s">
        <v>4657</v>
      </c>
      <c r="D758" s="95">
        <f>Prices!$J$15</f>
        <v>190.74380165289256</v>
      </c>
      <c r="F758">
        <v>131.13999999999999</v>
      </c>
      <c r="G758" t="s">
        <v>4658</v>
      </c>
      <c r="H758" t="s">
        <v>12</v>
      </c>
      <c r="I758" t="s">
        <v>4657</v>
      </c>
      <c r="J758" t="s">
        <v>1610</v>
      </c>
      <c r="K758" t="s">
        <v>4659</v>
      </c>
    </row>
    <row r="759" spans="1:11">
      <c r="A759" t="s">
        <v>10</v>
      </c>
      <c r="B759" t="s">
        <v>2565</v>
      </c>
      <c r="C759" t="s">
        <v>2566</v>
      </c>
      <c r="D759" s="95">
        <f>Prices!$J$15</f>
        <v>190.74380165289256</v>
      </c>
      <c r="F759">
        <v>0.79</v>
      </c>
      <c r="G759" t="s">
        <v>2567</v>
      </c>
      <c r="H759" t="s">
        <v>12</v>
      </c>
      <c r="I759" t="s">
        <v>2566</v>
      </c>
      <c r="J759" t="s">
        <v>1610</v>
      </c>
      <c r="K759" t="s">
        <v>2568</v>
      </c>
    </row>
    <row r="760" spans="1:11">
      <c r="A760" t="s">
        <v>76</v>
      </c>
      <c r="B760" t="s">
        <v>4243</v>
      </c>
      <c r="C760" t="s">
        <v>4244</v>
      </c>
      <c r="D760" s="95">
        <f>Prices!$J$15</f>
        <v>190.74380165289256</v>
      </c>
      <c r="F760">
        <v>17.41</v>
      </c>
      <c r="G760" t="s">
        <v>4245</v>
      </c>
      <c r="H760" t="s">
        <v>12</v>
      </c>
      <c r="I760" t="s">
        <v>4244</v>
      </c>
      <c r="J760" t="s">
        <v>1610</v>
      </c>
      <c r="K760" t="s">
        <v>4246</v>
      </c>
    </row>
    <row r="761" spans="1:11">
      <c r="A761" t="s">
        <v>10</v>
      </c>
      <c r="B761" t="s">
        <v>2517</v>
      </c>
      <c r="C761" t="s">
        <v>2518</v>
      </c>
      <c r="D761" s="95">
        <f>Prices!$J$15</f>
        <v>190.74380165289256</v>
      </c>
      <c r="F761">
        <v>21.21</v>
      </c>
      <c r="G761" t="s">
        <v>2519</v>
      </c>
      <c r="H761" t="s">
        <v>12</v>
      </c>
      <c r="I761" t="s">
        <v>2518</v>
      </c>
      <c r="J761" t="s">
        <v>1610</v>
      </c>
      <c r="K761" t="s">
        <v>2520</v>
      </c>
    </row>
    <row r="762" spans="1:11">
      <c r="A762" t="s">
        <v>76</v>
      </c>
      <c r="B762" t="s">
        <v>4660</v>
      </c>
      <c r="C762" t="s">
        <v>4661</v>
      </c>
      <c r="D762" s="95">
        <f>Prices!$J$15</f>
        <v>190.74380165289256</v>
      </c>
      <c r="F762">
        <v>0.57999999999999996</v>
      </c>
      <c r="G762" t="s">
        <v>4662</v>
      </c>
      <c r="H762" t="s">
        <v>12</v>
      </c>
      <c r="I762" t="s">
        <v>4661</v>
      </c>
      <c r="J762" t="s">
        <v>1610</v>
      </c>
      <c r="K762" t="s">
        <v>4663</v>
      </c>
    </row>
    <row r="763" spans="1:11">
      <c r="A763" t="s">
        <v>10</v>
      </c>
      <c r="B763" t="s">
        <v>4664</v>
      </c>
      <c r="C763" t="s">
        <v>4665</v>
      </c>
      <c r="D763" s="95">
        <f>Prices!$J$15</f>
        <v>190.74380165289256</v>
      </c>
      <c r="F763">
        <v>10.58</v>
      </c>
      <c r="G763" t="s">
        <v>4666</v>
      </c>
      <c r="H763" t="s">
        <v>12</v>
      </c>
      <c r="I763" t="s">
        <v>4665</v>
      </c>
      <c r="J763" t="s">
        <v>1610</v>
      </c>
      <c r="K763" t="s">
        <v>4667</v>
      </c>
    </row>
    <row r="764" spans="1:11">
      <c r="A764" t="s">
        <v>158</v>
      </c>
      <c r="B764" t="s">
        <v>1430</v>
      </c>
      <c r="C764" t="s">
        <v>1431</v>
      </c>
      <c r="D764" s="96">
        <f>Prices!$D$85</f>
        <v>159.30232558139537</v>
      </c>
      <c r="F764">
        <v>22.36</v>
      </c>
      <c r="G764" t="s">
        <v>1432</v>
      </c>
      <c r="H764" t="s">
        <v>12</v>
      </c>
      <c r="I764" t="s">
        <v>1431</v>
      </c>
      <c r="J764" t="s">
        <v>940</v>
      </c>
      <c r="K764" t="s">
        <v>1433</v>
      </c>
    </row>
    <row r="765" spans="1:11">
      <c r="A765" t="s">
        <v>158</v>
      </c>
      <c r="B765" t="s">
        <v>1020</v>
      </c>
      <c r="C765" t="s">
        <v>1021</v>
      </c>
      <c r="D765" s="96">
        <f>Prices!$D$85</f>
        <v>159.30232558139537</v>
      </c>
      <c r="F765">
        <v>0</v>
      </c>
      <c r="G765" t="s">
        <v>1022</v>
      </c>
      <c r="I765" t="s">
        <v>1021</v>
      </c>
      <c r="J765" t="s">
        <v>940</v>
      </c>
      <c r="K765" t="s">
        <v>979</v>
      </c>
    </row>
    <row r="766" spans="1:11">
      <c r="A766" t="s">
        <v>158</v>
      </c>
      <c r="B766" t="s">
        <v>985</v>
      </c>
      <c r="C766" t="s">
        <v>1151</v>
      </c>
      <c r="D766" s="96">
        <f>Prices!$D$85</f>
        <v>159.30232558139537</v>
      </c>
      <c r="F766">
        <v>0</v>
      </c>
      <c r="G766" t="s">
        <v>1152</v>
      </c>
      <c r="I766" t="s">
        <v>1151</v>
      </c>
      <c r="J766" t="s">
        <v>940</v>
      </c>
      <c r="K766" t="s">
        <v>988</v>
      </c>
    </row>
    <row r="767" spans="1:11">
      <c r="A767" t="s">
        <v>158</v>
      </c>
      <c r="B767" t="s">
        <v>985</v>
      </c>
      <c r="C767" t="s">
        <v>986</v>
      </c>
      <c r="D767" s="96">
        <f>Prices!$D$85</f>
        <v>159.30232558139537</v>
      </c>
      <c r="F767">
        <v>0.24</v>
      </c>
      <c r="G767" t="s">
        <v>987</v>
      </c>
      <c r="H767" t="s">
        <v>12</v>
      </c>
      <c r="I767" t="s">
        <v>986</v>
      </c>
      <c r="J767" t="s">
        <v>940</v>
      </c>
      <c r="K767" t="s">
        <v>988</v>
      </c>
    </row>
    <row r="768" spans="1:11">
      <c r="A768" t="s">
        <v>158</v>
      </c>
      <c r="B768" t="s">
        <v>1438</v>
      </c>
      <c r="C768" t="s">
        <v>1439</v>
      </c>
      <c r="D768" s="96">
        <f>Prices!$D$85</f>
        <v>159.30232558139537</v>
      </c>
      <c r="F768">
        <v>19.350000000000001</v>
      </c>
      <c r="G768" t="s">
        <v>1440</v>
      </c>
      <c r="H768" t="s">
        <v>12</v>
      </c>
      <c r="I768" t="s">
        <v>1439</v>
      </c>
      <c r="J768" t="s">
        <v>940</v>
      </c>
      <c r="K768" t="s">
        <v>1441</v>
      </c>
    </row>
    <row r="769" spans="1:11">
      <c r="A769" t="s">
        <v>158</v>
      </c>
      <c r="B769" t="s">
        <v>1507</v>
      </c>
      <c r="C769" t="s">
        <v>1508</v>
      </c>
      <c r="D769" s="96">
        <f>Prices!$D$85</f>
        <v>159.30232558139537</v>
      </c>
      <c r="F769">
        <v>1.3</v>
      </c>
      <c r="G769" t="s">
        <v>1509</v>
      </c>
      <c r="H769" t="s">
        <v>12</v>
      </c>
      <c r="I769" t="s">
        <v>1508</v>
      </c>
      <c r="J769" t="s">
        <v>940</v>
      </c>
      <c r="K769" t="s">
        <v>1510</v>
      </c>
    </row>
    <row r="770" spans="1:11">
      <c r="A770" t="s">
        <v>158</v>
      </c>
      <c r="B770" t="s">
        <v>1434</v>
      </c>
      <c r="C770" t="s">
        <v>1435</v>
      </c>
      <c r="D770" s="96">
        <f>Prices!$D$85</f>
        <v>159.30232558139537</v>
      </c>
      <c r="F770">
        <v>18.309999999999999</v>
      </c>
      <c r="G770" t="s">
        <v>1436</v>
      </c>
      <c r="H770" t="s">
        <v>12</v>
      </c>
      <c r="I770" t="s">
        <v>1435</v>
      </c>
      <c r="J770" t="s">
        <v>940</v>
      </c>
      <c r="K770" t="s">
        <v>1437</v>
      </c>
    </row>
    <row r="771" spans="1:11">
      <c r="A771" t="s">
        <v>158</v>
      </c>
      <c r="B771" t="s">
        <v>1500</v>
      </c>
      <c r="C771" t="s">
        <v>1501</v>
      </c>
      <c r="D771" s="96">
        <f>Prices!$D$85</f>
        <v>159.30232558139537</v>
      </c>
      <c r="F771">
        <v>16.149999999999999</v>
      </c>
      <c r="G771" t="s">
        <v>1502</v>
      </c>
      <c r="H771" t="s">
        <v>12</v>
      </c>
      <c r="I771" t="s">
        <v>1501</v>
      </c>
      <c r="J771" t="s">
        <v>940</v>
      </c>
      <c r="K771" t="s">
        <v>1503</v>
      </c>
    </row>
    <row r="772" spans="1:11">
      <c r="A772" t="s">
        <v>158</v>
      </c>
      <c r="B772" t="s">
        <v>1446</v>
      </c>
      <c r="C772" t="s">
        <v>1447</v>
      </c>
      <c r="D772" s="96">
        <f>Prices!$D$85</f>
        <v>159.30232558139537</v>
      </c>
      <c r="F772">
        <v>24.2</v>
      </c>
      <c r="G772" t="s">
        <v>1448</v>
      </c>
      <c r="H772" t="s">
        <v>12</v>
      </c>
      <c r="I772" t="s">
        <v>1447</v>
      </c>
      <c r="J772" t="s">
        <v>940</v>
      </c>
      <c r="K772" t="s">
        <v>1449</v>
      </c>
    </row>
    <row r="773" spans="1:11">
      <c r="A773" t="s">
        <v>158</v>
      </c>
      <c r="B773" t="s">
        <v>976</v>
      </c>
      <c r="C773" t="s">
        <v>977</v>
      </c>
      <c r="D773" s="96">
        <f>Prices!$D$85</f>
        <v>159.30232558139537</v>
      </c>
      <c r="F773">
        <v>15.25</v>
      </c>
      <c r="G773" t="s">
        <v>978</v>
      </c>
      <c r="H773" t="s">
        <v>12</v>
      </c>
      <c r="I773" t="s">
        <v>977</v>
      </c>
      <c r="J773" t="s">
        <v>940</v>
      </c>
      <c r="K773" t="s">
        <v>979</v>
      </c>
    </row>
    <row r="774" spans="1:11">
      <c r="A774" t="s">
        <v>158</v>
      </c>
      <c r="B774" t="s">
        <v>1442</v>
      </c>
      <c r="C774" t="s">
        <v>1443</v>
      </c>
      <c r="D774" s="96">
        <f>Prices!$D$85</f>
        <v>159.30232558139537</v>
      </c>
      <c r="F774">
        <v>6.78</v>
      </c>
      <c r="G774" t="s">
        <v>1444</v>
      </c>
      <c r="H774" t="s">
        <v>12</v>
      </c>
      <c r="I774" t="s">
        <v>1443</v>
      </c>
      <c r="J774" t="s">
        <v>940</v>
      </c>
      <c r="K774" t="s">
        <v>1445</v>
      </c>
    </row>
    <row r="775" spans="1:11">
      <c r="A775" t="s">
        <v>158</v>
      </c>
      <c r="B775" t="s">
        <v>1511</v>
      </c>
      <c r="C775" t="s">
        <v>1512</v>
      </c>
      <c r="D775" s="96">
        <f>Prices!$D$85</f>
        <v>159.30232558139537</v>
      </c>
      <c r="F775">
        <v>20.440000000000001</v>
      </c>
      <c r="G775" t="s">
        <v>1513</v>
      </c>
      <c r="H775" t="s">
        <v>12</v>
      </c>
      <c r="I775" t="s">
        <v>1512</v>
      </c>
      <c r="J775" t="s">
        <v>940</v>
      </c>
      <c r="K775" t="s">
        <v>1514</v>
      </c>
    </row>
    <row r="776" spans="1:11">
      <c r="A776" t="s">
        <v>158</v>
      </c>
      <c r="B776" t="s">
        <v>1456</v>
      </c>
      <c r="C776" t="s">
        <v>1457</v>
      </c>
      <c r="D776" s="96">
        <f>Prices!$D$85</f>
        <v>159.30232558139537</v>
      </c>
      <c r="F776">
        <v>6.4</v>
      </c>
      <c r="G776" t="s">
        <v>1458</v>
      </c>
      <c r="H776" t="s">
        <v>12</v>
      </c>
      <c r="I776" t="s">
        <v>1457</v>
      </c>
      <c r="J776" t="s">
        <v>940</v>
      </c>
      <c r="K776" t="s">
        <v>1459</v>
      </c>
    </row>
    <row r="777" spans="1:11">
      <c r="A777" t="s">
        <v>1398</v>
      </c>
      <c r="B777" t="s">
        <v>1454</v>
      </c>
      <c r="C777" t="s">
        <v>1455</v>
      </c>
      <c r="D777" s="96">
        <f>Prices!$D$85</f>
        <v>159.30232558139537</v>
      </c>
      <c r="F777">
        <v>52.25</v>
      </c>
      <c r="G777" t="s">
        <v>1602</v>
      </c>
      <c r="H777" t="s">
        <v>12</v>
      </c>
      <c r="I777" t="s">
        <v>1455</v>
      </c>
      <c r="J777" t="s">
        <v>940</v>
      </c>
      <c r="K777" t="s">
        <v>1603</v>
      </c>
    </row>
    <row r="778" spans="1:11">
      <c r="A778" t="s">
        <v>158</v>
      </c>
      <c r="B778" t="s">
        <v>1450</v>
      </c>
      <c r="C778" t="s">
        <v>1451</v>
      </c>
      <c r="D778" s="96">
        <f>Prices!$D$85</f>
        <v>159.30232558139537</v>
      </c>
      <c r="F778">
        <v>20.96</v>
      </c>
      <c r="G778" t="s">
        <v>1452</v>
      </c>
      <c r="H778" t="s">
        <v>12</v>
      </c>
      <c r="I778" t="s">
        <v>1451</v>
      </c>
      <c r="J778" t="s">
        <v>940</v>
      </c>
      <c r="K778" t="s">
        <v>1453</v>
      </c>
    </row>
    <row r="779" spans="1:11">
      <c r="A779" t="s">
        <v>158</v>
      </c>
      <c r="B779" t="s">
        <v>1478</v>
      </c>
      <c r="C779" t="s">
        <v>1479</v>
      </c>
      <c r="D779" s="96">
        <f>Prices!$D$85</f>
        <v>159.30232558139537</v>
      </c>
      <c r="F779">
        <v>40.590000000000003</v>
      </c>
      <c r="G779" t="s">
        <v>1480</v>
      </c>
      <c r="H779" t="s">
        <v>12</v>
      </c>
      <c r="I779" t="s">
        <v>1479</v>
      </c>
      <c r="J779" t="s">
        <v>940</v>
      </c>
      <c r="K779" t="s">
        <v>1481</v>
      </c>
    </row>
    <row r="780" spans="1:11">
      <c r="A780" t="s">
        <v>158</v>
      </c>
      <c r="B780" t="s">
        <v>1471</v>
      </c>
      <c r="C780" t="s">
        <v>1472</v>
      </c>
      <c r="D780" s="96">
        <f>Prices!$D$85</f>
        <v>159.30232558139537</v>
      </c>
      <c r="F780">
        <v>9.11</v>
      </c>
      <c r="G780" t="s">
        <v>1473</v>
      </c>
      <c r="H780" t="s">
        <v>12</v>
      </c>
      <c r="I780" t="s">
        <v>1472</v>
      </c>
      <c r="J780" t="s">
        <v>940</v>
      </c>
      <c r="K780" t="s">
        <v>1474</v>
      </c>
    </row>
    <row r="781" spans="1:11">
      <c r="A781" t="s">
        <v>158</v>
      </c>
      <c r="B781" t="s">
        <v>1463</v>
      </c>
      <c r="C781" t="s">
        <v>1464</v>
      </c>
      <c r="D781" s="96">
        <f>Prices!$D$85</f>
        <v>159.30232558139537</v>
      </c>
      <c r="F781">
        <v>51</v>
      </c>
      <c r="G781" t="s">
        <v>1465</v>
      </c>
      <c r="H781" t="s">
        <v>12</v>
      </c>
      <c r="I781" t="s">
        <v>1464</v>
      </c>
      <c r="J781" t="s">
        <v>940</v>
      </c>
      <c r="K781" t="s">
        <v>1466</v>
      </c>
    </row>
    <row r="782" spans="1:11">
      <c r="A782" t="s">
        <v>158</v>
      </c>
      <c r="B782" t="s">
        <v>1554</v>
      </c>
      <c r="C782" t="s">
        <v>1555</v>
      </c>
      <c r="D782" s="96">
        <f>Prices!$D$85</f>
        <v>159.30232558139537</v>
      </c>
      <c r="F782">
        <v>50.2</v>
      </c>
      <c r="G782" t="s">
        <v>1556</v>
      </c>
      <c r="H782" t="s">
        <v>12</v>
      </c>
      <c r="I782" t="s">
        <v>1555</v>
      </c>
      <c r="J782" t="s">
        <v>940</v>
      </c>
    </row>
    <row r="783" spans="1:11">
      <c r="A783" t="s">
        <v>158</v>
      </c>
      <c r="B783" t="s">
        <v>1515</v>
      </c>
      <c r="C783" t="s">
        <v>1516</v>
      </c>
      <c r="D783" s="96">
        <f>Prices!$D$85</f>
        <v>159.30232558139537</v>
      </c>
      <c r="F783">
        <v>3.98</v>
      </c>
      <c r="G783" t="s">
        <v>1517</v>
      </c>
      <c r="H783" t="s">
        <v>12</v>
      </c>
      <c r="I783" t="s">
        <v>1516</v>
      </c>
      <c r="J783" t="s">
        <v>940</v>
      </c>
      <c r="K783" t="s">
        <v>988</v>
      </c>
    </row>
    <row r="784" spans="1:11">
      <c r="A784" t="s">
        <v>158</v>
      </c>
      <c r="B784" t="s">
        <v>1123</v>
      </c>
      <c r="C784" t="s">
        <v>1124</v>
      </c>
      <c r="D784" s="96">
        <f>Prices!$D$85</f>
        <v>159.30232558139537</v>
      </c>
      <c r="F784">
        <v>0</v>
      </c>
      <c r="G784" t="s">
        <v>1125</v>
      </c>
      <c r="I784" t="s">
        <v>1124</v>
      </c>
      <c r="J784" t="s">
        <v>940</v>
      </c>
      <c r="K784" t="s">
        <v>988</v>
      </c>
    </row>
    <row r="785" spans="1:11">
      <c r="A785" t="s">
        <v>158</v>
      </c>
      <c r="B785" t="s">
        <v>1496</v>
      </c>
      <c r="C785" t="s">
        <v>1497</v>
      </c>
      <c r="D785" s="96">
        <f>Prices!$D$85</f>
        <v>159.30232558139537</v>
      </c>
      <c r="F785">
        <v>58.67</v>
      </c>
      <c r="G785" t="s">
        <v>1498</v>
      </c>
      <c r="H785" t="s">
        <v>12</v>
      </c>
      <c r="I785" t="s">
        <v>1497</v>
      </c>
      <c r="J785" t="s">
        <v>940</v>
      </c>
      <c r="K785" t="s">
        <v>1499</v>
      </c>
    </row>
    <row r="786" spans="1:11">
      <c r="A786" t="s">
        <v>158</v>
      </c>
      <c r="B786" t="s">
        <v>1356</v>
      </c>
      <c r="C786" t="s">
        <v>1357</v>
      </c>
      <c r="D786" s="96">
        <f>Prices!$D$85</f>
        <v>159.30232558139537</v>
      </c>
      <c r="F786">
        <v>0</v>
      </c>
      <c r="G786" t="s">
        <v>1358</v>
      </c>
      <c r="I786" t="s">
        <v>1357</v>
      </c>
      <c r="J786" t="s">
        <v>940</v>
      </c>
      <c r="K786" t="s">
        <v>1359</v>
      </c>
    </row>
    <row r="787" spans="1:11">
      <c r="A787" t="s">
        <v>158</v>
      </c>
      <c r="B787" t="s">
        <v>1485</v>
      </c>
      <c r="C787" t="s">
        <v>1486</v>
      </c>
      <c r="D787" s="96">
        <f>Prices!$D$85</f>
        <v>159.30232558139537</v>
      </c>
      <c r="F787">
        <v>46.3</v>
      </c>
      <c r="G787" t="s">
        <v>1487</v>
      </c>
      <c r="H787" t="s">
        <v>12</v>
      </c>
      <c r="I787" t="s">
        <v>1486</v>
      </c>
      <c r="J787" t="s">
        <v>940</v>
      </c>
      <c r="K787" t="s">
        <v>1488</v>
      </c>
    </row>
    <row r="788" spans="1:11">
      <c r="A788" t="s">
        <v>76</v>
      </c>
      <c r="B788" t="s">
        <v>1055</v>
      </c>
      <c r="C788" t="s">
        <v>1056</v>
      </c>
      <c r="D788" s="96">
        <f>Prices!$D$85</f>
        <v>159.30232558139537</v>
      </c>
      <c r="F788">
        <v>1.47</v>
      </c>
      <c r="G788" t="s">
        <v>1057</v>
      </c>
      <c r="H788" t="s">
        <v>12</v>
      </c>
      <c r="I788" t="s">
        <v>1056</v>
      </c>
      <c r="J788" t="s">
        <v>940</v>
      </c>
      <c r="K788" t="s">
        <v>1058</v>
      </c>
    </row>
    <row r="789" spans="1:11">
      <c r="A789" t="s">
        <v>158</v>
      </c>
      <c r="B789" t="s">
        <v>1177</v>
      </c>
      <c r="C789" t="s">
        <v>1178</v>
      </c>
      <c r="D789" s="96">
        <f>Prices!$D$85</f>
        <v>159.30232558139537</v>
      </c>
      <c r="F789">
        <v>0</v>
      </c>
      <c r="G789" t="s">
        <v>1179</v>
      </c>
      <c r="I789" t="s">
        <v>1178</v>
      </c>
      <c r="J789" t="s">
        <v>940</v>
      </c>
      <c r="K789" t="s">
        <v>988</v>
      </c>
    </row>
    <row r="790" spans="1:11">
      <c r="A790" t="s">
        <v>158</v>
      </c>
      <c r="B790" t="s">
        <v>1137</v>
      </c>
      <c r="C790" t="s">
        <v>1138</v>
      </c>
      <c r="D790" s="96">
        <f>Prices!$D$85</f>
        <v>159.30232558139537</v>
      </c>
      <c r="F790">
        <v>0</v>
      </c>
      <c r="G790" t="s">
        <v>1139</v>
      </c>
      <c r="I790" t="s">
        <v>1138</v>
      </c>
      <c r="J790" t="s">
        <v>940</v>
      </c>
      <c r="K790" t="s">
        <v>988</v>
      </c>
    </row>
    <row r="791" spans="1:11">
      <c r="A791" t="s">
        <v>76</v>
      </c>
      <c r="B791" t="s">
        <v>1760</v>
      </c>
      <c r="C791" t="s">
        <v>1761</v>
      </c>
      <c r="D791" s="95">
        <f>Prices!$J$17</f>
        <v>190.74380165289256</v>
      </c>
      <c r="F791">
        <v>12.91</v>
      </c>
      <c r="G791" t="s">
        <v>1762</v>
      </c>
      <c r="H791" t="s">
        <v>12</v>
      </c>
      <c r="I791" t="s">
        <v>1761</v>
      </c>
      <c r="J791" t="s">
        <v>1610</v>
      </c>
      <c r="K791" t="s">
        <v>1763</v>
      </c>
    </row>
    <row r="792" spans="1:11">
      <c r="A792" t="s">
        <v>10</v>
      </c>
      <c r="B792" t="s">
        <v>1764</v>
      </c>
      <c r="C792" t="s">
        <v>1765</v>
      </c>
      <c r="D792" s="95">
        <f>Prices!$J$17</f>
        <v>190.74380165289256</v>
      </c>
      <c r="F792">
        <v>8.35</v>
      </c>
      <c r="G792" t="s">
        <v>2454</v>
      </c>
      <c r="H792" t="s">
        <v>12</v>
      </c>
      <c r="I792" t="s">
        <v>1765</v>
      </c>
      <c r="J792" t="s">
        <v>1610</v>
      </c>
      <c r="K792" t="s">
        <v>2455</v>
      </c>
    </row>
    <row r="793" spans="1:11">
      <c r="A793" t="s">
        <v>10</v>
      </c>
      <c r="B793" t="s">
        <v>1766</v>
      </c>
      <c r="C793" t="s">
        <v>1767</v>
      </c>
      <c r="D793" s="95">
        <f>Prices!$J$17</f>
        <v>190.74380165289256</v>
      </c>
      <c r="F793">
        <v>13.02</v>
      </c>
      <c r="G793" t="s">
        <v>4287</v>
      </c>
      <c r="H793" t="s">
        <v>12</v>
      </c>
      <c r="I793" t="s">
        <v>1767</v>
      </c>
      <c r="J793" t="s">
        <v>1610</v>
      </c>
      <c r="K793" t="s">
        <v>4288</v>
      </c>
    </row>
    <row r="794" spans="1:11">
      <c r="A794" t="s">
        <v>76</v>
      </c>
      <c r="B794" t="s">
        <v>1768</v>
      </c>
      <c r="C794" t="s">
        <v>1769</v>
      </c>
      <c r="D794" s="95">
        <f>Prices!$J$17</f>
        <v>190.74380165289256</v>
      </c>
      <c r="F794">
        <v>120.57</v>
      </c>
      <c r="G794" t="s">
        <v>1770</v>
      </c>
      <c r="H794" t="s">
        <v>12</v>
      </c>
      <c r="I794" t="s">
        <v>1769</v>
      </c>
      <c r="J794" t="s">
        <v>1610</v>
      </c>
      <c r="K794" t="s">
        <v>1771</v>
      </c>
    </row>
    <row r="795" spans="1:11">
      <c r="A795" t="s">
        <v>76</v>
      </c>
      <c r="B795" t="s">
        <v>1772</v>
      </c>
      <c r="C795" t="s">
        <v>1773</v>
      </c>
      <c r="D795" s="95">
        <f>Prices!$J$17</f>
        <v>190.74380165289256</v>
      </c>
      <c r="F795">
        <v>271.98</v>
      </c>
      <c r="G795" t="s">
        <v>1774</v>
      </c>
      <c r="H795" t="s">
        <v>12</v>
      </c>
      <c r="I795" t="s">
        <v>1773</v>
      </c>
      <c r="J795" t="s">
        <v>1610</v>
      </c>
      <c r="K795" t="s">
        <v>1775</v>
      </c>
    </row>
    <row r="796" spans="1:11">
      <c r="A796" t="s">
        <v>76</v>
      </c>
      <c r="B796" t="s">
        <v>1776</v>
      </c>
      <c r="C796" t="s">
        <v>1777</v>
      </c>
      <c r="D796" s="95">
        <f>Prices!$J$17</f>
        <v>190.74380165289256</v>
      </c>
      <c r="F796">
        <v>48.06</v>
      </c>
      <c r="G796" t="s">
        <v>1778</v>
      </c>
      <c r="H796" t="s">
        <v>12</v>
      </c>
      <c r="I796" t="s">
        <v>1777</v>
      </c>
      <c r="J796" t="s">
        <v>1610</v>
      </c>
      <c r="K796" t="s">
        <v>1779</v>
      </c>
    </row>
    <row r="797" spans="1:11">
      <c r="A797" t="s">
        <v>76</v>
      </c>
      <c r="B797" t="s">
        <v>1780</v>
      </c>
      <c r="C797" t="s">
        <v>1781</v>
      </c>
      <c r="D797" s="95">
        <f>Prices!$J$17</f>
        <v>190.74380165289256</v>
      </c>
      <c r="F797">
        <v>9.77</v>
      </c>
      <c r="G797" t="s">
        <v>1782</v>
      </c>
      <c r="H797" t="s">
        <v>12</v>
      </c>
      <c r="I797" t="s">
        <v>1781</v>
      </c>
      <c r="J797" t="s">
        <v>1610</v>
      </c>
    </row>
    <row r="798" spans="1:11">
      <c r="A798" t="s">
        <v>76</v>
      </c>
      <c r="B798" t="s">
        <v>2238</v>
      </c>
      <c r="C798" t="s">
        <v>2239</v>
      </c>
      <c r="D798" s="95">
        <f>Prices!$J$17</f>
        <v>190.74380165289256</v>
      </c>
      <c r="F798">
        <v>14.21</v>
      </c>
      <c r="G798" t="s">
        <v>2240</v>
      </c>
      <c r="H798" t="s">
        <v>12</v>
      </c>
      <c r="I798" t="s">
        <v>2239</v>
      </c>
      <c r="J798" t="s">
        <v>1610</v>
      </c>
      <c r="K798" t="s">
        <v>2241</v>
      </c>
    </row>
    <row r="799" spans="1:11" ht="30">
      <c r="A799" t="s">
        <v>10</v>
      </c>
      <c r="B799" s="1" t="s">
        <v>1734</v>
      </c>
      <c r="C799" t="s">
        <v>1735</v>
      </c>
      <c r="D799" s="95">
        <f>Prices!$J$17</f>
        <v>190.74380165289256</v>
      </c>
      <c r="F799">
        <v>10.19</v>
      </c>
      <c r="G799" t="s">
        <v>4089</v>
      </c>
      <c r="H799" t="s">
        <v>12</v>
      </c>
      <c r="I799" t="s">
        <v>1735</v>
      </c>
      <c r="J799" t="s">
        <v>1610</v>
      </c>
      <c r="K799" t="s">
        <v>4090</v>
      </c>
    </row>
    <row r="800" spans="1:11" ht="30">
      <c r="A800" t="s">
        <v>10</v>
      </c>
      <c r="B800" s="1" t="s">
        <v>1736</v>
      </c>
      <c r="C800" t="s">
        <v>1737</v>
      </c>
      <c r="D800" s="95">
        <f>Prices!$J$17</f>
        <v>190.74380165289256</v>
      </c>
      <c r="F800">
        <v>18.46</v>
      </c>
      <c r="G800" t="s">
        <v>3927</v>
      </c>
      <c r="H800" t="s">
        <v>12</v>
      </c>
      <c r="I800" t="s">
        <v>1737</v>
      </c>
      <c r="J800" t="s">
        <v>1610</v>
      </c>
      <c r="K800" t="s">
        <v>3928</v>
      </c>
    </row>
    <row r="801" spans="1:11" ht="30">
      <c r="A801" t="s">
        <v>10</v>
      </c>
      <c r="B801" s="1" t="s">
        <v>1738</v>
      </c>
      <c r="C801" t="s">
        <v>1739</v>
      </c>
      <c r="D801" s="95">
        <f>Prices!$J$17</f>
        <v>190.74380165289256</v>
      </c>
      <c r="F801">
        <v>46.28</v>
      </c>
      <c r="G801" t="s">
        <v>4319</v>
      </c>
      <c r="H801" t="s">
        <v>12</v>
      </c>
      <c r="I801" t="s">
        <v>1739</v>
      </c>
      <c r="J801" t="s">
        <v>1610</v>
      </c>
    </row>
    <row r="802" spans="1:11">
      <c r="A802" t="s">
        <v>10</v>
      </c>
      <c r="B802" t="s">
        <v>1740</v>
      </c>
      <c r="C802" t="s">
        <v>1741</v>
      </c>
      <c r="D802" s="95">
        <f>Prices!$J$17</f>
        <v>190.74380165289256</v>
      </c>
      <c r="F802">
        <v>25.2</v>
      </c>
      <c r="G802" t="s">
        <v>3606</v>
      </c>
      <c r="H802" t="s">
        <v>12</v>
      </c>
      <c r="I802" t="s">
        <v>1741</v>
      </c>
      <c r="J802" t="s">
        <v>1610</v>
      </c>
      <c r="K802" t="s">
        <v>3607</v>
      </c>
    </row>
    <row r="803" spans="1:11">
      <c r="A803" t="s">
        <v>10</v>
      </c>
      <c r="B803" t="s">
        <v>1742</v>
      </c>
      <c r="C803" t="s">
        <v>1743</v>
      </c>
      <c r="D803" s="95">
        <f>Prices!$J$17</f>
        <v>190.74380165289256</v>
      </c>
      <c r="F803">
        <v>1.1599999999999999</v>
      </c>
      <c r="G803" t="s">
        <v>4226</v>
      </c>
      <c r="H803" t="s">
        <v>12</v>
      </c>
      <c r="I803" t="s">
        <v>1743</v>
      </c>
      <c r="J803" t="s">
        <v>1610</v>
      </c>
      <c r="K803" t="s">
        <v>4227</v>
      </c>
    </row>
    <row r="804" spans="1:11">
      <c r="A804" t="s">
        <v>76</v>
      </c>
      <c r="B804" t="s">
        <v>1744</v>
      </c>
      <c r="C804" t="s">
        <v>1745</v>
      </c>
      <c r="D804" s="95">
        <f>Prices!$J$17</f>
        <v>190.74380165289256</v>
      </c>
      <c r="F804">
        <v>130.75</v>
      </c>
      <c r="G804" t="s">
        <v>1746</v>
      </c>
      <c r="H804" t="s">
        <v>12</v>
      </c>
      <c r="I804" t="s">
        <v>1745</v>
      </c>
      <c r="J804" t="s">
        <v>1610</v>
      </c>
      <c r="K804" t="s">
        <v>1747</v>
      </c>
    </row>
    <row r="805" spans="1:11">
      <c r="A805" t="s">
        <v>76</v>
      </c>
      <c r="B805" t="s">
        <v>1748</v>
      </c>
      <c r="C805" t="s">
        <v>1749</v>
      </c>
      <c r="D805" s="95">
        <f>Prices!$J$17</f>
        <v>190.74380165289256</v>
      </c>
      <c r="F805">
        <v>33.869999999999997</v>
      </c>
      <c r="G805" t="s">
        <v>1750</v>
      </c>
      <c r="H805" t="s">
        <v>12</v>
      </c>
      <c r="I805" t="s">
        <v>1749</v>
      </c>
      <c r="J805" t="s">
        <v>1610</v>
      </c>
      <c r="K805" t="s">
        <v>1751</v>
      </c>
    </row>
    <row r="806" spans="1:11">
      <c r="A806" t="s">
        <v>76</v>
      </c>
      <c r="B806" t="s">
        <v>1752</v>
      </c>
      <c r="C806" t="s">
        <v>1753</v>
      </c>
      <c r="D806" s="95">
        <f>Prices!$J$17</f>
        <v>190.74380165289256</v>
      </c>
      <c r="F806">
        <v>92.91</v>
      </c>
      <c r="G806" t="s">
        <v>1754</v>
      </c>
      <c r="H806" t="s">
        <v>12</v>
      </c>
      <c r="I806" t="s">
        <v>1753</v>
      </c>
      <c r="J806" t="s">
        <v>1610</v>
      </c>
      <c r="K806" t="s">
        <v>1755</v>
      </c>
    </row>
    <row r="807" spans="1:11">
      <c r="A807" t="s">
        <v>76</v>
      </c>
      <c r="B807" t="s">
        <v>1756</v>
      </c>
      <c r="C807" t="s">
        <v>1757</v>
      </c>
      <c r="D807" s="95">
        <f>Prices!$J$17</f>
        <v>190.74380165289256</v>
      </c>
      <c r="F807">
        <v>111.17</v>
      </c>
      <c r="G807" t="s">
        <v>1758</v>
      </c>
      <c r="H807" t="s">
        <v>12</v>
      </c>
      <c r="I807" t="s">
        <v>1757</v>
      </c>
      <c r="J807" t="s">
        <v>1610</v>
      </c>
      <c r="K807" t="s">
        <v>1759</v>
      </c>
    </row>
    <row r="808" spans="1:11">
      <c r="A808" t="s">
        <v>76</v>
      </c>
      <c r="B808" t="s">
        <v>2257</v>
      </c>
      <c r="C808" t="s">
        <v>2258</v>
      </c>
      <c r="D808" s="95">
        <f>Prices!$J$19</f>
        <v>191.53526970954357</v>
      </c>
      <c r="F808">
        <v>0</v>
      </c>
      <c r="G808" t="s">
        <v>2259</v>
      </c>
      <c r="I808" t="s">
        <v>2258</v>
      </c>
      <c r="J808" t="s">
        <v>1610</v>
      </c>
      <c r="K808" t="s">
        <v>2260</v>
      </c>
    </row>
    <row r="809" spans="1:11">
      <c r="A809" t="s">
        <v>76</v>
      </c>
      <c r="B809" t="s">
        <v>3225</v>
      </c>
      <c r="C809" t="s">
        <v>3226</v>
      </c>
      <c r="D809" s="95">
        <f>Prices!$J$19</f>
        <v>191.53526970954357</v>
      </c>
      <c r="F809">
        <v>0</v>
      </c>
      <c r="G809" t="s">
        <v>3227</v>
      </c>
      <c r="I809" t="s">
        <v>3226</v>
      </c>
      <c r="J809" t="s">
        <v>1610</v>
      </c>
      <c r="K809" t="s">
        <v>3228</v>
      </c>
    </row>
    <row r="810" spans="1:11">
      <c r="A810" t="s">
        <v>76</v>
      </c>
      <c r="B810" t="s">
        <v>591</v>
      </c>
      <c r="C810" t="s">
        <v>592</v>
      </c>
      <c r="D810" s="95">
        <f>Prices!$J$19</f>
        <v>191.53526970954357</v>
      </c>
      <c r="F810">
        <v>51.01</v>
      </c>
      <c r="G810" t="s">
        <v>593</v>
      </c>
      <c r="H810" t="s">
        <v>12</v>
      </c>
      <c r="I810" t="s">
        <v>592</v>
      </c>
      <c r="J810" t="s">
        <v>13</v>
      </c>
      <c r="K810" t="s">
        <v>594</v>
      </c>
    </row>
    <row r="811" spans="1:11">
      <c r="A811" t="s">
        <v>76</v>
      </c>
      <c r="B811" t="s">
        <v>3173</v>
      </c>
      <c r="C811" t="s">
        <v>3174</v>
      </c>
      <c r="D811" s="95">
        <f>Prices!$J$19</f>
        <v>191.53526970954357</v>
      </c>
      <c r="F811">
        <v>0</v>
      </c>
      <c r="G811" t="s">
        <v>3175</v>
      </c>
      <c r="I811" t="s">
        <v>3174</v>
      </c>
      <c r="J811" t="s">
        <v>1610</v>
      </c>
      <c r="K811" t="s">
        <v>3176</v>
      </c>
    </row>
    <row r="812" spans="1:11">
      <c r="A812" t="s">
        <v>76</v>
      </c>
      <c r="B812" t="s">
        <v>4810</v>
      </c>
      <c r="C812" t="s">
        <v>4811</v>
      </c>
      <c r="D812" s="95">
        <f>Prices!$J$19</f>
        <v>191.53526970954357</v>
      </c>
      <c r="F812">
        <v>16.3</v>
      </c>
      <c r="G812" t="s">
        <v>4812</v>
      </c>
      <c r="H812" t="s">
        <v>12</v>
      </c>
      <c r="I812" t="s">
        <v>4811</v>
      </c>
      <c r="J812" t="s">
        <v>1610</v>
      </c>
      <c r="K812" t="s">
        <v>4813</v>
      </c>
    </row>
    <row r="813" spans="1:11">
      <c r="A813" t="s">
        <v>14</v>
      </c>
      <c r="B813" t="s">
        <v>15</v>
      </c>
      <c r="C813" t="s">
        <v>16</v>
      </c>
      <c r="D813" s="95">
        <f>Prices!$J$19</f>
        <v>191.53526970954357</v>
      </c>
      <c r="F813">
        <v>12</v>
      </c>
      <c r="G813" t="s">
        <v>17</v>
      </c>
      <c r="H813" t="s">
        <v>12</v>
      </c>
      <c r="I813" t="s">
        <v>16</v>
      </c>
      <c r="J813" t="s">
        <v>13</v>
      </c>
      <c r="K813" t="s">
        <v>18</v>
      </c>
    </row>
    <row r="814" spans="1:11">
      <c r="A814" t="s">
        <v>76</v>
      </c>
      <c r="B814" t="s">
        <v>1987</v>
      </c>
      <c r="C814" t="s">
        <v>1988</v>
      </c>
      <c r="D814" s="95">
        <f>Prices!$J$19</f>
        <v>191.53526970954357</v>
      </c>
      <c r="F814">
        <v>10.47</v>
      </c>
      <c r="G814" t="s">
        <v>1989</v>
      </c>
      <c r="H814" t="s">
        <v>12</v>
      </c>
      <c r="I814" t="s">
        <v>1988</v>
      </c>
      <c r="J814" t="s">
        <v>1610</v>
      </c>
      <c r="K814" t="s">
        <v>1990</v>
      </c>
    </row>
    <row r="815" spans="1:11">
      <c r="A815" t="s">
        <v>76</v>
      </c>
      <c r="B815" t="s">
        <v>603</v>
      </c>
      <c r="C815" t="s">
        <v>604</v>
      </c>
      <c r="D815" s="95">
        <f>Prices!$J$19</f>
        <v>191.53526970954357</v>
      </c>
      <c r="F815">
        <v>120.2</v>
      </c>
      <c r="G815" t="s">
        <v>605</v>
      </c>
      <c r="H815" t="s">
        <v>12</v>
      </c>
      <c r="I815" t="s">
        <v>604</v>
      </c>
      <c r="J815" t="s">
        <v>13</v>
      </c>
      <c r="K815" t="s">
        <v>606</v>
      </c>
    </row>
    <row r="816" spans="1:11">
      <c r="A816" t="s">
        <v>10</v>
      </c>
      <c r="B816" t="s">
        <v>3466</v>
      </c>
      <c r="C816" t="s">
        <v>3467</v>
      </c>
      <c r="D816" s="95">
        <f>Prices!$J$19</f>
        <v>191.53526970954357</v>
      </c>
      <c r="F816">
        <v>56.68</v>
      </c>
      <c r="G816" t="s">
        <v>3468</v>
      </c>
      <c r="H816" t="s">
        <v>12</v>
      </c>
      <c r="I816" t="s">
        <v>3467</v>
      </c>
      <c r="J816" t="s">
        <v>1610</v>
      </c>
    </row>
    <row r="817" spans="1:11">
      <c r="A817" t="s">
        <v>76</v>
      </c>
      <c r="B817" t="s">
        <v>4814</v>
      </c>
      <c r="C817" t="s">
        <v>4815</v>
      </c>
      <c r="D817" s="95">
        <f>Prices!$J$19</f>
        <v>191.53526970954357</v>
      </c>
      <c r="F817">
        <v>151.01</v>
      </c>
      <c r="G817" t="s">
        <v>4816</v>
      </c>
      <c r="H817" t="s">
        <v>12</v>
      </c>
      <c r="I817" t="s">
        <v>4815</v>
      </c>
      <c r="J817" t="s">
        <v>1610</v>
      </c>
      <c r="K817" t="s">
        <v>4817</v>
      </c>
    </row>
    <row r="818" spans="1:11">
      <c r="A818" t="s">
        <v>76</v>
      </c>
      <c r="B818" t="s">
        <v>728</v>
      </c>
      <c r="C818" t="s">
        <v>729</v>
      </c>
      <c r="D818" s="95">
        <f>Prices!$J$19</f>
        <v>191.53526970954357</v>
      </c>
      <c r="F818">
        <v>0</v>
      </c>
      <c r="G818" t="s">
        <v>730</v>
      </c>
      <c r="I818" t="s">
        <v>729</v>
      </c>
      <c r="J818" t="s">
        <v>13</v>
      </c>
      <c r="K818" t="s">
        <v>731</v>
      </c>
    </row>
    <row r="819" spans="1:11">
      <c r="A819" t="s">
        <v>76</v>
      </c>
      <c r="B819" t="s">
        <v>4818</v>
      </c>
      <c r="C819" t="s">
        <v>4819</v>
      </c>
      <c r="D819" s="95">
        <f>Prices!$J$19</f>
        <v>191.53526970954357</v>
      </c>
      <c r="F819">
        <v>200.13</v>
      </c>
      <c r="G819" t="s">
        <v>4820</v>
      </c>
      <c r="H819" t="s">
        <v>12</v>
      </c>
      <c r="I819" t="s">
        <v>4819</v>
      </c>
      <c r="J819" t="s">
        <v>1610</v>
      </c>
      <c r="K819" t="s">
        <v>4821</v>
      </c>
    </row>
    <row r="820" spans="1:11">
      <c r="A820" t="s">
        <v>76</v>
      </c>
      <c r="B820" t="s">
        <v>464</v>
      </c>
      <c r="C820" t="s">
        <v>465</v>
      </c>
      <c r="D820" s="95">
        <f>Prices!$J$19</f>
        <v>191.53526970954357</v>
      </c>
      <c r="F820">
        <v>0</v>
      </c>
      <c r="G820" t="s">
        <v>466</v>
      </c>
      <c r="I820" t="s">
        <v>465</v>
      </c>
      <c r="J820" t="s">
        <v>13</v>
      </c>
      <c r="K820" t="s">
        <v>467</v>
      </c>
    </row>
    <row r="821" spans="1:11">
      <c r="A821" t="s">
        <v>395</v>
      </c>
      <c r="B821" t="s">
        <v>2467</v>
      </c>
      <c r="C821" t="s">
        <v>2468</v>
      </c>
      <c r="D821" s="95">
        <f>Prices!$J$19</f>
        <v>191.53526970954357</v>
      </c>
      <c r="F821">
        <v>18.21</v>
      </c>
      <c r="G821" t="s">
        <v>2530</v>
      </c>
      <c r="H821" t="s">
        <v>12</v>
      </c>
      <c r="I821" t="s">
        <v>2468</v>
      </c>
      <c r="J821" t="s">
        <v>1610</v>
      </c>
    </row>
    <row r="822" spans="1:11">
      <c r="A822" t="s">
        <v>76</v>
      </c>
      <c r="B822" t="s">
        <v>547</v>
      </c>
      <c r="C822" t="s">
        <v>548</v>
      </c>
      <c r="D822" s="95">
        <f>Prices!$J$19</f>
        <v>191.53526970954357</v>
      </c>
      <c r="F822">
        <v>70.95</v>
      </c>
      <c r="G822" t="s">
        <v>549</v>
      </c>
      <c r="H822" t="s">
        <v>12</v>
      </c>
      <c r="I822" t="s">
        <v>548</v>
      </c>
      <c r="J822" t="s">
        <v>13</v>
      </c>
      <c r="K822" t="s">
        <v>550</v>
      </c>
    </row>
    <row r="823" spans="1:11">
      <c r="A823" t="s">
        <v>10</v>
      </c>
      <c r="B823" t="s">
        <v>3458</v>
      </c>
      <c r="C823" t="s">
        <v>3459</v>
      </c>
      <c r="D823" s="95">
        <f>Prices!$J$19</f>
        <v>191.53526970954357</v>
      </c>
      <c r="F823">
        <v>25</v>
      </c>
      <c r="G823" t="s">
        <v>3460</v>
      </c>
      <c r="H823" t="s">
        <v>12</v>
      </c>
      <c r="I823" t="s">
        <v>3459</v>
      </c>
      <c r="J823" t="s">
        <v>1610</v>
      </c>
      <c r="K823" t="s">
        <v>3461</v>
      </c>
    </row>
    <row r="824" spans="1:11">
      <c r="A824" t="s">
        <v>76</v>
      </c>
      <c r="B824" t="s">
        <v>224</v>
      </c>
      <c r="C824" t="s">
        <v>225</v>
      </c>
      <c r="D824" s="95">
        <f>Prices!$J$19</f>
        <v>191.53526970954357</v>
      </c>
      <c r="F824">
        <v>0</v>
      </c>
      <c r="G824" t="s">
        <v>226</v>
      </c>
      <c r="I824" t="s">
        <v>225</v>
      </c>
      <c r="J824" t="s">
        <v>13</v>
      </c>
      <c r="K824" t="s">
        <v>227</v>
      </c>
    </row>
    <row r="825" spans="1:11">
      <c r="A825" t="s">
        <v>76</v>
      </c>
      <c r="B825" t="s">
        <v>4822</v>
      </c>
      <c r="C825" t="s">
        <v>4823</v>
      </c>
      <c r="D825" s="95">
        <f>Prices!$J$19</f>
        <v>191.53526970954357</v>
      </c>
      <c r="F825">
        <v>25.66</v>
      </c>
      <c r="G825" t="s">
        <v>4824</v>
      </c>
      <c r="H825" t="s">
        <v>12</v>
      </c>
      <c r="I825" t="s">
        <v>4823</v>
      </c>
      <c r="J825" t="s">
        <v>1610</v>
      </c>
      <c r="K825" t="s">
        <v>4825</v>
      </c>
    </row>
    <row r="826" spans="1:11">
      <c r="A826" t="s">
        <v>76</v>
      </c>
      <c r="B826" t="s">
        <v>348</v>
      </c>
      <c r="C826" t="s">
        <v>349</v>
      </c>
      <c r="D826" s="95">
        <f>Prices!$J$19</f>
        <v>191.53526970954357</v>
      </c>
      <c r="F826">
        <v>0</v>
      </c>
      <c r="G826" t="s">
        <v>350</v>
      </c>
      <c r="I826" t="s">
        <v>349</v>
      </c>
      <c r="J826" t="s">
        <v>13</v>
      </c>
      <c r="K826" t="s">
        <v>351</v>
      </c>
    </row>
    <row r="827" spans="1:11">
      <c r="A827" t="s">
        <v>76</v>
      </c>
      <c r="B827" t="s">
        <v>4826</v>
      </c>
      <c r="C827" t="s">
        <v>4827</v>
      </c>
      <c r="D827" s="95">
        <f>Prices!$J$19</f>
        <v>191.53526970954357</v>
      </c>
      <c r="F827">
        <v>38.21</v>
      </c>
      <c r="G827" t="s">
        <v>4828</v>
      </c>
      <c r="H827" t="s">
        <v>12</v>
      </c>
      <c r="I827" t="s">
        <v>4827</v>
      </c>
      <c r="J827" t="s">
        <v>1610</v>
      </c>
      <c r="K827" t="s">
        <v>4829</v>
      </c>
    </row>
    <row r="828" spans="1:11">
      <c r="A828" t="s">
        <v>76</v>
      </c>
      <c r="B828" t="s">
        <v>309</v>
      </c>
      <c r="C828" t="s">
        <v>310</v>
      </c>
      <c r="D828" s="95">
        <f>Prices!$J$19</f>
        <v>191.53526970954357</v>
      </c>
      <c r="F828">
        <v>0</v>
      </c>
      <c r="G828" t="s">
        <v>311</v>
      </c>
      <c r="I828" t="s">
        <v>310</v>
      </c>
      <c r="J828" t="s">
        <v>13</v>
      </c>
      <c r="K828" t="s">
        <v>312</v>
      </c>
    </row>
    <row r="829" spans="1:11">
      <c r="A829" t="s">
        <v>10</v>
      </c>
      <c r="B829" t="s">
        <v>3766</v>
      </c>
      <c r="C829" t="s">
        <v>3767</v>
      </c>
      <c r="D829" s="95">
        <f>Prices!$J$19</f>
        <v>191.53526970954357</v>
      </c>
      <c r="F829">
        <v>26.76</v>
      </c>
      <c r="G829" t="s">
        <v>3768</v>
      </c>
      <c r="H829" t="s">
        <v>12</v>
      </c>
      <c r="I829" t="s">
        <v>3767</v>
      </c>
      <c r="J829" t="s">
        <v>1610</v>
      </c>
      <c r="K829" t="s">
        <v>2539</v>
      </c>
    </row>
    <row r="830" spans="1:11">
      <c r="A830" t="s">
        <v>10</v>
      </c>
      <c r="B830" t="s">
        <v>2839</v>
      </c>
      <c r="C830" t="s">
        <v>2840</v>
      </c>
      <c r="D830" s="95">
        <f>Prices!$J$19</f>
        <v>191.53526970954357</v>
      </c>
      <c r="F830">
        <v>4.3</v>
      </c>
      <c r="G830" t="s">
        <v>2841</v>
      </c>
      <c r="H830" t="s">
        <v>12</v>
      </c>
      <c r="I830" t="s">
        <v>2840</v>
      </c>
      <c r="J830" t="s">
        <v>1610</v>
      </c>
      <c r="K830" t="s">
        <v>2842</v>
      </c>
    </row>
    <row r="831" spans="1:11">
      <c r="A831" t="s">
        <v>23</v>
      </c>
      <c r="B831" t="s">
        <v>2213</v>
      </c>
      <c r="C831" t="s">
        <v>2214</v>
      </c>
      <c r="D831" s="95">
        <f>Prices!$J$19</f>
        <v>191.53526970954357</v>
      </c>
      <c r="F831">
        <v>13.81</v>
      </c>
      <c r="G831" t="s">
        <v>2646</v>
      </c>
      <c r="H831" t="s">
        <v>12</v>
      </c>
      <c r="I831" t="s">
        <v>2214</v>
      </c>
      <c r="J831" t="s">
        <v>1610</v>
      </c>
      <c r="K831" t="s">
        <v>2647</v>
      </c>
    </row>
    <row r="832" spans="1:11">
      <c r="A832" t="s">
        <v>76</v>
      </c>
      <c r="B832" t="s">
        <v>2308</v>
      </c>
      <c r="C832" t="s">
        <v>2309</v>
      </c>
      <c r="D832" s="95">
        <f>Prices!$J$19</f>
        <v>191.53526970954357</v>
      </c>
      <c r="F832">
        <v>118.01</v>
      </c>
      <c r="G832" t="s">
        <v>2310</v>
      </c>
      <c r="H832" t="s">
        <v>12</v>
      </c>
      <c r="I832" t="s">
        <v>2309</v>
      </c>
      <c r="J832" t="s">
        <v>1610</v>
      </c>
      <c r="K832" t="s">
        <v>2311</v>
      </c>
    </row>
    <row r="833" spans="1:11">
      <c r="A833" t="s">
        <v>76</v>
      </c>
      <c r="B833" t="s">
        <v>4800</v>
      </c>
      <c r="C833" t="s">
        <v>4801</v>
      </c>
      <c r="D833" s="95">
        <f>Prices!$J$19</f>
        <v>191.53526970954357</v>
      </c>
      <c r="F833">
        <v>136.68</v>
      </c>
      <c r="G833" t="s">
        <v>4802</v>
      </c>
      <c r="H833" t="s">
        <v>12</v>
      </c>
      <c r="I833" t="s">
        <v>4801</v>
      </c>
      <c r="J833" t="s">
        <v>1610</v>
      </c>
      <c r="K833" t="s">
        <v>4803</v>
      </c>
    </row>
    <row r="834" spans="1:11">
      <c r="A834" t="s">
        <v>76</v>
      </c>
      <c r="B834" t="s">
        <v>563</v>
      </c>
      <c r="C834" t="s">
        <v>564</v>
      </c>
      <c r="D834" s="95">
        <f>Prices!$J$19</f>
        <v>191.53526970954357</v>
      </c>
      <c r="F834">
        <v>351.56</v>
      </c>
      <c r="G834" t="s">
        <v>565</v>
      </c>
      <c r="H834" t="s">
        <v>12</v>
      </c>
      <c r="I834" t="s">
        <v>564</v>
      </c>
      <c r="J834" t="s">
        <v>13</v>
      </c>
      <c r="K834" t="s">
        <v>566</v>
      </c>
    </row>
    <row r="835" spans="1:11">
      <c r="A835" t="s">
        <v>76</v>
      </c>
      <c r="B835" t="s">
        <v>1979</v>
      </c>
      <c r="C835" t="s">
        <v>1980</v>
      </c>
      <c r="D835" s="95">
        <f>Prices!$J$19</f>
        <v>191.53526970954357</v>
      </c>
      <c r="F835">
        <v>7.48</v>
      </c>
      <c r="G835" t="s">
        <v>1981</v>
      </c>
      <c r="H835" t="s">
        <v>12</v>
      </c>
      <c r="I835" t="s">
        <v>1980</v>
      </c>
      <c r="J835" t="s">
        <v>1610</v>
      </c>
      <c r="K835" t="s">
        <v>1982</v>
      </c>
    </row>
    <row r="836" spans="1:11">
      <c r="A836" t="s">
        <v>10</v>
      </c>
      <c r="B836" t="s">
        <v>3825</v>
      </c>
      <c r="C836" t="s">
        <v>3826</v>
      </c>
      <c r="D836" s="95">
        <f>Prices!$J$19</f>
        <v>191.53526970954357</v>
      </c>
      <c r="F836">
        <v>2.57</v>
      </c>
      <c r="G836" t="s">
        <v>3827</v>
      </c>
      <c r="H836" t="s">
        <v>12</v>
      </c>
      <c r="I836" t="s">
        <v>3826</v>
      </c>
      <c r="J836" t="s">
        <v>1610</v>
      </c>
      <c r="K836" t="s">
        <v>3828</v>
      </c>
    </row>
    <row r="837" spans="1:11">
      <c r="A837" t="s">
        <v>76</v>
      </c>
      <c r="B837" t="s">
        <v>4804</v>
      </c>
      <c r="C837" t="s">
        <v>4805</v>
      </c>
      <c r="D837" s="95">
        <f>Prices!$J$19</f>
        <v>191.53526970954357</v>
      </c>
      <c r="F837">
        <v>435.12</v>
      </c>
      <c r="G837" t="s">
        <v>4806</v>
      </c>
      <c r="H837" t="s">
        <v>12</v>
      </c>
      <c r="I837" t="s">
        <v>4805</v>
      </c>
      <c r="J837" t="s">
        <v>1610</v>
      </c>
      <c r="K837" t="s">
        <v>3828</v>
      </c>
    </row>
    <row r="838" spans="1:11">
      <c r="A838" t="s">
        <v>76</v>
      </c>
      <c r="B838" t="s">
        <v>567</v>
      </c>
      <c r="C838" t="s">
        <v>568</v>
      </c>
      <c r="D838" s="95">
        <f>Prices!$J$19</f>
        <v>191.53526970954357</v>
      </c>
      <c r="F838">
        <v>3.84</v>
      </c>
      <c r="G838" t="s">
        <v>569</v>
      </c>
      <c r="H838" t="s">
        <v>12</v>
      </c>
      <c r="I838" t="s">
        <v>568</v>
      </c>
      <c r="J838" t="s">
        <v>13</v>
      </c>
      <c r="K838" t="s">
        <v>570</v>
      </c>
    </row>
    <row r="839" spans="1:11">
      <c r="A839" t="s">
        <v>76</v>
      </c>
      <c r="B839" t="s">
        <v>1983</v>
      </c>
      <c r="C839" t="s">
        <v>1984</v>
      </c>
      <c r="D839" s="95">
        <f>Prices!$J$19</f>
        <v>191.53526970954357</v>
      </c>
      <c r="F839">
        <v>152.78</v>
      </c>
      <c r="G839" t="s">
        <v>1985</v>
      </c>
      <c r="H839" t="s">
        <v>12</v>
      </c>
      <c r="I839" t="s">
        <v>1984</v>
      </c>
      <c r="J839" t="s">
        <v>1610</v>
      </c>
      <c r="K839" t="s">
        <v>1986</v>
      </c>
    </row>
    <row r="840" spans="1:11">
      <c r="A840" t="s">
        <v>76</v>
      </c>
      <c r="B840" t="s">
        <v>571</v>
      </c>
      <c r="C840" t="s">
        <v>572</v>
      </c>
      <c r="D840" s="95">
        <f>Prices!$J$19</f>
        <v>191.53526970954357</v>
      </c>
      <c r="F840">
        <v>122.22</v>
      </c>
      <c r="G840" t="s">
        <v>573</v>
      </c>
      <c r="H840" t="s">
        <v>12</v>
      </c>
      <c r="I840" t="s">
        <v>572</v>
      </c>
      <c r="J840" t="s">
        <v>13</v>
      </c>
      <c r="K840" t="s">
        <v>574</v>
      </c>
    </row>
    <row r="841" spans="1:11">
      <c r="A841" t="s">
        <v>10</v>
      </c>
      <c r="B841" t="s">
        <v>4166</v>
      </c>
      <c r="C841" t="s">
        <v>4167</v>
      </c>
      <c r="D841" s="95">
        <f>Prices!$J$19</f>
        <v>191.53526970954357</v>
      </c>
      <c r="F841">
        <v>10.97</v>
      </c>
      <c r="G841" t="s">
        <v>4168</v>
      </c>
      <c r="H841" t="s">
        <v>12</v>
      </c>
      <c r="I841" t="s">
        <v>4167</v>
      </c>
      <c r="J841" t="s">
        <v>1610</v>
      </c>
      <c r="K841" t="s">
        <v>4169</v>
      </c>
    </row>
    <row r="842" spans="1:11">
      <c r="A842" t="s">
        <v>76</v>
      </c>
      <c r="B842" t="s">
        <v>575</v>
      </c>
      <c r="C842" t="s">
        <v>576</v>
      </c>
      <c r="D842" s="95">
        <f>Prices!$J$19</f>
        <v>191.53526970954357</v>
      </c>
      <c r="F842">
        <v>11</v>
      </c>
      <c r="G842" t="s">
        <v>577</v>
      </c>
      <c r="H842" t="s">
        <v>12</v>
      </c>
      <c r="I842" t="s">
        <v>576</v>
      </c>
      <c r="J842" t="s">
        <v>13</v>
      </c>
      <c r="K842" t="s">
        <v>578</v>
      </c>
    </row>
    <row r="843" spans="1:11">
      <c r="A843" t="s">
        <v>76</v>
      </c>
      <c r="B843" t="s">
        <v>3981</v>
      </c>
      <c r="C843" t="s">
        <v>3982</v>
      </c>
      <c r="D843" s="95">
        <f>Prices!$J$19</f>
        <v>191.53526970954357</v>
      </c>
      <c r="F843">
        <v>327.79</v>
      </c>
      <c r="G843" t="s">
        <v>3983</v>
      </c>
      <c r="H843" t="s">
        <v>12</v>
      </c>
      <c r="I843" t="s">
        <v>3982</v>
      </c>
      <c r="J843" t="s">
        <v>1610</v>
      </c>
    </row>
    <row r="844" spans="1:11">
      <c r="A844" t="s">
        <v>10</v>
      </c>
      <c r="B844" t="s">
        <v>3451</v>
      </c>
      <c r="C844" t="s">
        <v>3452</v>
      </c>
      <c r="D844" s="95">
        <f>Prices!$J$19</f>
        <v>191.53526970954357</v>
      </c>
      <c r="F844">
        <v>32.56</v>
      </c>
      <c r="G844" t="s">
        <v>3453</v>
      </c>
      <c r="H844" t="s">
        <v>12</v>
      </c>
      <c r="I844" t="s">
        <v>3452</v>
      </c>
      <c r="J844" t="s">
        <v>1610</v>
      </c>
    </row>
    <row r="845" spans="1:11">
      <c r="A845" t="s">
        <v>76</v>
      </c>
      <c r="B845" t="s">
        <v>4807</v>
      </c>
      <c r="C845" t="s">
        <v>4808</v>
      </c>
      <c r="D845" s="95">
        <f>Prices!$J$19</f>
        <v>191.53526970954357</v>
      </c>
      <c r="F845">
        <v>430.65</v>
      </c>
      <c r="G845" t="s">
        <v>4809</v>
      </c>
      <c r="H845" t="s">
        <v>12</v>
      </c>
      <c r="I845" t="s">
        <v>4808</v>
      </c>
      <c r="J845" t="s">
        <v>1610</v>
      </c>
    </row>
    <row r="846" spans="1:11">
      <c r="A846" t="s">
        <v>76</v>
      </c>
      <c r="B846" t="s">
        <v>579</v>
      </c>
      <c r="C846" t="s">
        <v>580</v>
      </c>
      <c r="D846" s="95">
        <f>Prices!$J$19</f>
        <v>191.53526970954357</v>
      </c>
      <c r="F846">
        <v>504.95</v>
      </c>
      <c r="G846" t="s">
        <v>581</v>
      </c>
      <c r="H846" t="s">
        <v>12</v>
      </c>
      <c r="I846" t="s">
        <v>580</v>
      </c>
      <c r="J846" t="s">
        <v>13</v>
      </c>
      <c r="K846" t="s">
        <v>582</v>
      </c>
    </row>
    <row r="847" spans="1:11">
      <c r="A847" t="s">
        <v>10</v>
      </c>
      <c r="B847" t="s">
        <v>2022</v>
      </c>
      <c r="C847" t="s">
        <v>2023</v>
      </c>
      <c r="D847" s="95">
        <f>Prices!$J$19</f>
        <v>191.53526970954357</v>
      </c>
      <c r="F847">
        <v>404.1</v>
      </c>
      <c r="G847" t="s">
        <v>2024</v>
      </c>
      <c r="H847" t="s">
        <v>12</v>
      </c>
      <c r="I847" t="s">
        <v>2023</v>
      </c>
      <c r="J847" t="s">
        <v>1610</v>
      </c>
      <c r="K847" t="s">
        <v>2025</v>
      </c>
    </row>
    <row r="848" spans="1:11">
      <c r="A848" t="s">
        <v>76</v>
      </c>
      <c r="B848" t="s">
        <v>2698</v>
      </c>
      <c r="C848" t="s">
        <v>2699</v>
      </c>
      <c r="D848" s="95">
        <f>Prices!$J$19</f>
        <v>191.53526970954357</v>
      </c>
      <c r="F848">
        <v>95.22</v>
      </c>
      <c r="G848" t="s">
        <v>2700</v>
      </c>
      <c r="H848" t="s">
        <v>12</v>
      </c>
      <c r="I848" t="s">
        <v>2699</v>
      </c>
      <c r="J848" t="s">
        <v>1610</v>
      </c>
    </row>
    <row r="849" spans="1:11">
      <c r="A849" t="s">
        <v>10</v>
      </c>
      <c r="B849" t="s">
        <v>3836</v>
      </c>
      <c r="C849" t="s">
        <v>3837</v>
      </c>
      <c r="D849" s="95">
        <f>Prices!$J$19</f>
        <v>191.53526970954357</v>
      </c>
      <c r="F849">
        <v>4.12</v>
      </c>
      <c r="G849" t="s">
        <v>3838</v>
      </c>
      <c r="H849" t="s">
        <v>12</v>
      </c>
      <c r="I849" t="s">
        <v>3837</v>
      </c>
      <c r="J849" t="s">
        <v>1610</v>
      </c>
      <c r="K849" t="s">
        <v>3188</v>
      </c>
    </row>
    <row r="850" spans="1:11">
      <c r="A850" t="s">
        <v>76</v>
      </c>
      <c r="B850" t="s">
        <v>4198</v>
      </c>
      <c r="C850" t="s">
        <v>4199</v>
      </c>
      <c r="D850" s="95">
        <f>Prices!$J$19</f>
        <v>191.53526970954357</v>
      </c>
      <c r="F850">
        <v>183.35</v>
      </c>
      <c r="G850" t="s">
        <v>4200</v>
      </c>
      <c r="H850" t="s">
        <v>12</v>
      </c>
      <c r="I850" t="s">
        <v>4199</v>
      </c>
      <c r="J850" t="s">
        <v>1610</v>
      </c>
      <c r="K850" t="s">
        <v>4201</v>
      </c>
    </row>
    <row r="851" spans="1:11">
      <c r="A851" t="s">
        <v>76</v>
      </c>
      <c r="B851" t="s">
        <v>583</v>
      </c>
      <c r="C851" t="s">
        <v>584</v>
      </c>
      <c r="D851" s="95">
        <f>Prices!$J$19</f>
        <v>191.53526970954357</v>
      </c>
      <c r="F851">
        <v>219.93</v>
      </c>
      <c r="G851" t="s">
        <v>585</v>
      </c>
      <c r="H851" t="s">
        <v>12</v>
      </c>
      <c r="I851" t="s">
        <v>584</v>
      </c>
      <c r="J851" t="s">
        <v>13</v>
      </c>
      <c r="K851" t="s">
        <v>586</v>
      </c>
    </row>
    <row r="852" spans="1:11">
      <c r="A852" t="s">
        <v>10</v>
      </c>
      <c r="B852" t="s">
        <v>3977</v>
      </c>
      <c r="C852" t="s">
        <v>3978</v>
      </c>
      <c r="D852" s="95">
        <f>Prices!$J$19</f>
        <v>191.53526970954357</v>
      </c>
      <c r="F852">
        <v>6.56</v>
      </c>
      <c r="G852" t="s">
        <v>3979</v>
      </c>
      <c r="H852" t="s">
        <v>12</v>
      </c>
      <c r="I852" t="s">
        <v>3978</v>
      </c>
      <c r="J852" t="s">
        <v>1610</v>
      </c>
      <c r="K852" t="s">
        <v>3980</v>
      </c>
    </row>
    <row r="853" spans="1:11">
      <c r="A853" t="s">
        <v>10</v>
      </c>
      <c r="B853" t="s">
        <v>4045</v>
      </c>
      <c r="C853" t="s">
        <v>4046</v>
      </c>
      <c r="D853" s="95">
        <f>Prices!$J$19</f>
        <v>191.53526970954357</v>
      </c>
      <c r="F853">
        <v>77.510000000000005</v>
      </c>
      <c r="G853" t="s">
        <v>4047</v>
      </c>
      <c r="H853" t="s">
        <v>12</v>
      </c>
      <c r="I853" t="s">
        <v>4046</v>
      </c>
      <c r="J853" t="s">
        <v>1610</v>
      </c>
      <c r="K853" t="s">
        <v>4048</v>
      </c>
    </row>
    <row r="854" spans="1:11">
      <c r="A854" t="s">
        <v>76</v>
      </c>
      <c r="B854" t="s">
        <v>776</v>
      </c>
      <c r="C854" t="s">
        <v>777</v>
      </c>
      <c r="D854" s="95">
        <f>Prices!$J$19</f>
        <v>191.53526970954357</v>
      </c>
      <c r="F854">
        <v>0</v>
      </c>
      <c r="G854" t="s">
        <v>778</v>
      </c>
      <c r="I854" t="s">
        <v>777</v>
      </c>
      <c r="J854" t="s">
        <v>13</v>
      </c>
      <c r="K854" t="s">
        <v>779</v>
      </c>
    </row>
    <row r="855" spans="1:11">
      <c r="A855" t="s">
        <v>76</v>
      </c>
      <c r="B855" t="s">
        <v>3090</v>
      </c>
      <c r="C855" t="s">
        <v>3091</v>
      </c>
      <c r="D855" s="95">
        <f>Prices!$J$19</f>
        <v>191.53526970954357</v>
      </c>
      <c r="F855">
        <v>0</v>
      </c>
      <c r="G855" t="s">
        <v>3092</v>
      </c>
      <c r="I855" t="s">
        <v>3091</v>
      </c>
      <c r="J855" t="s">
        <v>1610</v>
      </c>
      <c r="K855" t="s">
        <v>3093</v>
      </c>
    </row>
    <row r="856" spans="1:11">
      <c r="A856" t="s">
        <v>10</v>
      </c>
      <c r="B856" t="s">
        <v>4170</v>
      </c>
      <c r="C856" t="s">
        <v>4171</v>
      </c>
      <c r="D856" s="95">
        <f>Prices!$J$19</f>
        <v>191.53526970954357</v>
      </c>
      <c r="F856">
        <v>39.96</v>
      </c>
      <c r="G856" t="s">
        <v>4172</v>
      </c>
      <c r="H856" t="s">
        <v>12</v>
      </c>
      <c r="I856" t="s">
        <v>4171</v>
      </c>
      <c r="J856" t="s">
        <v>1610</v>
      </c>
      <c r="K856" t="s">
        <v>4173</v>
      </c>
    </row>
    <row r="857" spans="1:11">
      <c r="A857" t="s">
        <v>76</v>
      </c>
      <c r="B857" t="s">
        <v>595</v>
      </c>
      <c r="C857" t="s">
        <v>596</v>
      </c>
      <c r="D857" s="95">
        <f>Prices!$J$19</f>
        <v>191.53526970954357</v>
      </c>
      <c r="F857">
        <v>0</v>
      </c>
      <c r="G857" t="s">
        <v>597</v>
      </c>
      <c r="I857" t="s">
        <v>596</v>
      </c>
      <c r="J857" t="s">
        <v>13</v>
      </c>
      <c r="K857" t="s">
        <v>598</v>
      </c>
    </row>
    <row r="858" spans="1:11">
      <c r="A858" t="s">
        <v>447</v>
      </c>
      <c r="B858" t="s">
        <v>2134</v>
      </c>
      <c r="C858" t="s">
        <v>2135</v>
      </c>
      <c r="D858" s="95">
        <f>Prices!$J$19</f>
        <v>191.53526970954357</v>
      </c>
      <c r="F858">
        <v>0</v>
      </c>
      <c r="G858" t="s">
        <v>3067</v>
      </c>
      <c r="I858" t="s">
        <v>2135</v>
      </c>
      <c r="J858" t="s">
        <v>1610</v>
      </c>
      <c r="K858" t="s">
        <v>3068</v>
      </c>
    </row>
    <row r="859" spans="1:11">
      <c r="A859" t="s">
        <v>76</v>
      </c>
      <c r="B859" t="s">
        <v>2279</v>
      </c>
      <c r="C859" t="s">
        <v>2280</v>
      </c>
      <c r="D859" s="95">
        <f>Prices!$J$19</f>
        <v>191.53526970954357</v>
      </c>
      <c r="F859">
        <v>31.49</v>
      </c>
      <c r="G859" t="s">
        <v>2281</v>
      </c>
      <c r="H859" t="s">
        <v>12</v>
      </c>
      <c r="I859" t="s">
        <v>2280</v>
      </c>
      <c r="J859" t="s">
        <v>1610</v>
      </c>
      <c r="K859" t="s">
        <v>2282</v>
      </c>
    </row>
    <row r="860" spans="1:11">
      <c r="A860" t="s">
        <v>76</v>
      </c>
      <c r="B860" t="s">
        <v>2246</v>
      </c>
      <c r="C860" t="s">
        <v>2247</v>
      </c>
      <c r="D860" s="95">
        <f>Prices!$J$21</f>
        <v>192.33333333333334</v>
      </c>
      <c r="F860">
        <v>27.34</v>
      </c>
      <c r="G860" t="s">
        <v>2248</v>
      </c>
      <c r="H860" t="s">
        <v>12</v>
      </c>
      <c r="I860" t="s">
        <v>2247</v>
      </c>
      <c r="J860" t="s">
        <v>1610</v>
      </c>
      <c r="K860" t="s">
        <v>2249</v>
      </c>
    </row>
    <row r="861" spans="1:11">
      <c r="A861" t="s">
        <v>76</v>
      </c>
      <c r="B861" t="s">
        <v>2312</v>
      </c>
      <c r="C861" t="s">
        <v>2313</v>
      </c>
      <c r="D861" s="95">
        <f>Prices!$J$21</f>
        <v>192.33333333333334</v>
      </c>
      <c r="F861">
        <v>47.77</v>
      </c>
      <c r="G861" t="s">
        <v>2314</v>
      </c>
      <c r="H861" t="s">
        <v>12</v>
      </c>
      <c r="I861" t="s">
        <v>2313</v>
      </c>
      <c r="J861" t="s">
        <v>1610</v>
      </c>
      <c r="K861" t="s">
        <v>2315</v>
      </c>
    </row>
    <row r="862" spans="1:11">
      <c r="A862" t="s">
        <v>76</v>
      </c>
      <c r="B862" t="s">
        <v>2428</v>
      </c>
      <c r="C862" t="s">
        <v>2429</v>
      </c>
      <c r="D862" s="95">
        <f>Prices!$J$21</f>
        <v>192.33333333333334</v>
      </c>
      <c r="F862">
        <v>1.8</v>
      </c>
      <c r="G862" t="s">
        <v>2430</v>
      </c>
      <c r="H862" t="s">
        <v>12</v>
      </c>
      <c r="I862" t="s">
        <v>2429</v>
      </c>
      <c r="J862" t="s">
        <v>1610</v>
      </c>
      <c r="K862" t="s">
        <v>2431</v>
      </c>
    </row>
    <row r="863" spans="1:11">
      <c r="A863" t="s">
        <v>76</v>
      </c>
      <c r="B863" t="s">
        <v>4708</v>
      </c>
      <c r="C863" t="s">
        <v>4709</v>
      </c>
      <c r="D863" s="95">
        <f>Prices!$J$21</f>
        <v>192.33333333333334</v>
      </c>
      <c r="F863">
        <v>49.32</v>
      </c>
      <c r="G863" t="s">
        <v>4710</v>
      </c>
      <c r="H863" t="s">
        <v>12</v>
      </c>
      <c r="I863" t="s">
        <v>4709</v>
      </c>
      <c r="J863" t="s">
        <v>1610</v>
      </c>
      <c r="K863" t="s">
        <v>4711</v>
      </c>
    </row>
    <row r="864" spans="1:11">
      <c r="A864" t="s">
        <v>76</v>
      </c>
      <c r="B864" t="s">
        <v>4712</v>
      </c>
      <c r="C864" t="s">
        <v>4713</v>
      </c>
      <c r="D864" s="95">
        <f>Prices!$J$21</f>
        <v>192.33333333333334</v>
      </c>
      <c r="F864">
        <v>63.06</v>
      </c>
      <c r="G864" t="s">
        <v>4714</v>
      </c>
      <c r="H864" t="s">
        <v>12</v>
      </c>
      <c r="I864" t="s">
        <v>4713</v>
      </c>
      <c r="J864" t="s">
        <v>1610</v>
      </c>
      <c r="K864" t="s">
        <v>4715</v>
      </c>
    </row>
    <row r="865" spans="1:11">
      <c r="A865" t="s">
        <v>76</v>
      </c>
      <c r="B865" t="s">
        <v>4716</v>
      </c>
      <c r="C865" t="s">
        <v>4717</v>
      </c>
      <c r="D865" s="95">
        <f>Prices!$J$21</f>
        <v>192.33333333333334</v>
      </c>
      <c r="F865">
        <v>118.53</v>
      </c>
      <c r="G865" t="s">
        <v>4718</v>
      </c>
      <c r="H865" t="s">
        <v>12</v>
      </c>
      <c r="I865" t="s">
        <v>4717</v>
      </c>
      <c r="J865" t="s">
        <v>1610</v>
      </c>
      <c r="K865" t="s">
        <v>4719</v>
      </c>
    </row>
    <row r="866" spans="1:11">
      <c r="A866" t="s">
        <v>76</v>
      </c>
      <c r="B866" t="s">
        <v>4720</v>
      </c>
      <c r="C866" t="s">
        <v>4721</v>
      </c>
      <c r="D866" s="95">
        <f>Prices!$J$21</f>
        <v>192.33333333333334</v>
      </c>
      <c r="F866">
        <v>123.46</v>
      </c>
      <c r="G866" t="s">
        <v>4722</v>
      </c>
      <c r="H866" t="s">
        <v>12</v>
      </c>
      <c r="I866" t="s">
        <v>4721</v>
      </c>
      <c r="J866" t="s">
        <v>1610</v>
      </c>
      <c r="K866" t="s">
        <v>4723</v>
      </c>
    </row>
    <row r="867" spans="1:11">
      <c r="A867" t="s">
        <v>10</v>
      </c>
      <c r="B867" t="s">
        <v>3203</v>
      </c>
      <c r="C867" t="s">
        <v>3204</v>
      </c>
      <c r="D867" s="95">
        <f>Prices!$J$21</f>
        <v>192.33333333333334</v>
      </c>
      <c r="F867">
        <v>0</v>
      </c>
      <c r="G867" t="s">
        <v>3205</v>
      </c>
      <c r="I867" t="s">
        <v>3204</v>
      </c>
      <c r="J867" t="s">
        <v>1610</v>
      </c>
      <c r="K867" t="s">
        <v>3206</v>
      </c>
    </row>
    <row r="868" spans="1:11">
      <c r="A868" t="s">
        <v>76</v>
      </c>
      <c r="B868" t="s">
        <v>3154</v>
      </c>
      <c r="C868" t="s">
        <v>3155</v>
      </c>
      <c r="D868" s="95">
        <f>Prices!$J$21</f>
        <v>192.33333333333334</v>
      </c>
      <c r="F868">
        <v>0</v>
      </c>
      <c r="G868" t="s">
        <v>3156</v>
      </c>
      <c r="I868" t="s">
        <v>3155</v>
      </c>
      <c r="J868" t="s">
        <v>1610</v>
      </c>
      <c r="K868" t="s">
        <v>3157</v>
      </c>
    </row>
    <row r="869" spans="1:11">
      <c r="A869" t="s">
        <v>76</v>
      </c>
      <c r="B869" t="s">
        <v>3111</v>
      </c>
      <c r="C869" t="s">
        <v>3112</v>
      </c>
      <c r="D869" s="95">
        <f>Prices!$J$21</f>
        <v>192.33333333333334</v>
      </c>
      <c r="F869">
        <v>0</v>
      </c>
      <c r="G869" t="s">
        <v>3113</v>
      </c>
      <c r="I869" t="s">
        <v>3112</v>
      </c>
      <c r="J869" t="s">
        <v>1610</v>
      </c>
      <c r="K869" t="s">
        <v>3114</v>
      </c>
    </row>
    <row r="870" spans="1:11">
      <c r="A870" t="s">
        <v>10</v>
      </c>
      <c r="B870" t="s">
        <v>4006</v>
      </c>
      <c r="C870" t="s">
        <v>4007</v>
      </c>
      <c r="D870" s="95">
        <f>Prices!$J$21</f>
        <v>192.33333333333334</v>
      </c>
      <c r="F870">
        <v>3</v>
      </c>
      <c r="G870" t="s">
        <v>4008</v>
      </c>
      <c r="H870" t="s">
        <v>12</v>
      </c>
      <c r="I870" t="s">
        <v>4007</v>
      </c>
      <c r="J870" t="s">
        <v>1610</v>
      </c>
      <c r="K870" t="s">
        <v>4009</v>
      </c>
    </row>
    <row r="871" spans="1:11">
      <c r="A871" t="s">
        <v>10</v>
      </c>
      <c r="B871" t="s">
        <v>2596</v>
      </c>
      <c r="C871" t="s">
        <v>2597</v>
      </c>
      <c r="D871" s="95">
        <f>Prices!$J$21</f>
        <v>192.33333333333334</v>
      </c>
      <c r="F871">
        <v>2.99</v>
      </c>
      <c r="G871" t="s">
        <v>2598</v>
      </c>
      <c r="H871" t="s">
        <v>12</v>
      </c>
      <c r="I871" t="s">
        <v>2597</v>
      </c>
      <c r="J871" t="s">
        <v>1610</v>
      </c>
    </row>
    <row r="872" spans="1:11">
      <c r="A872" t="s">
        <v>76</v>
      </c>
      <c r="B872" t="s">
        <v>2234</v>
      </c>
      <c r="C872" t="s">
        <v>2235</v>
      </c>
      <c r="D872" s="95">
        <f>Prices!$J$21</f>
        <v>192.33333333333334</v>
      </c>
      <c r="F872">
        <v>210.71</v>
      </c>
      <c r="G872" t="s">
        <v>2236</v>
      </c>
      <c r="H872" t="s">
        <v>12</v>
      </c>
      <c r="I872" t="s">
        <v>2235</v>
      </c>
      <c r="J872" t="s">
        <v>1610</v>
      </c>
      <c r="K872" t="s">
        <v>2237</v>
      </c>
    </row>
    <row r="873" spans="1:11">
      <c r="A873" t="s">
        <v>76</v>
      </c>
      <c r="B873" t="s">
        <v>2330</v>
      </c>
      <c r="C873" t="s">
        <v>2331</v>
      </c>
      <c r="D873" s="95">
        <f>Prices!$J$21</f>
        <v>192.33333333333334</v>
      </c>
      <c r="F873">
        <v>158.47999999999999</v>
      </c>
      <c r="G873" t="s">
        <v>2332</v>
      </c>
      <c r="H873" t="s">
        <v>12</v>
      </c>
      <c r="I873" t="s">
        <v>2331</v>
      </c>
      <c r="J873" t="s">
        <v>1610</v>
      </c>
      <c r="K873" t="s">
        <v>2333</v>
      </c>
    </row>
    <row r="874" spans="1:11">
      <c r="A874" t="s">
        <v>76</v>
      </c>
      <c r="B874" t="s">
        <v>2432</v>
      </c>
      <c r="C874" t="s">
        <v>2433</v>
      </c>
      <c r="D874" s="95">
        <f>Prices!$J$21</f>
        <v>192.33333333333334</v>
      </c>
      <c r="F874">
        <v>1.3</v>
      </c>
      <c r="G874" t="s">
        <v>2434</v>
      </c>
      <c r="H874" t="s">
        <v>12</v>
      </c>
      <c r="I874" t="s">
        <v>2433</v>
      </c>
      <c r="J874" t="s">
        <v>1610</v>
      </c>
      <c r="K874" t="s">
        <v>2431</v>
      </c>
    </row>
    <row r="875" spans="1:11">
      <c r="A875" t="s">
        <v>76</v>
      </c>
      <c r="B875" t="s">
        <v>4034</v>
      </c>
      <c r="C875" t="s">
        <v>4035</v>
      </c>
      <c r="D875" s="95">
        <f>Prices!$J$21</f>
        <v>192.33333333333334</v>
      </c>
      <c r="F875">
        <v>41.19</v>
      </c>
      <c r="G875" t="s">
        <v>4036</v>
      </c>
      <c r="H875" t="s">
        <v>12</v>
      </c>
      <c r="I875" t="s">
        <v>4035</v>
      </c>
      <c r="J875" t="s">
        <v>1610</v>
      </c>
      <c r="K875" t="s">
        <v>4037</v>
      </c>
    </row>
    <row r="876" spans="1:11">
      <c r="A876" t="s">
        <v>10</v>
      </c>
      <c r="B876" t="s">
        <v>2736</v>
      </c>
      <c r="C876" t="s">
        <v>2737</v>
      </c>
      <c r="D876" s="95">
        <f>Prices!$J$21</f>
        <v>192.33333333333334</v>
      </c>
      <c r="F876">
        <v>0.41</v>
      </c>
      <c r="G876" t="s">
        <v>2738</v>
      </c>
      <c r="H876" t="s">
        <v>12</v>
      </c>
      <c r="I876" t="s">
        <v>2737</v>
      </c>
      <c r="J876" t="s">
        <v>1610</v>
      </c>
      <c r="K876" t="s">
        <v>2739</v>
      </c>
    </row>
    <row r="877" spans="1:11">
      <c r="A877" t="s">
        <v>10</v>
      </c>
      <c r="B877" t="s">
        <v>4688</v>
      </c>
      <c r="C877" t="s">
        <v>4689</v>
      </c>
      <c r="D877" s="95">
        <f>Prices!$J$21</f>
        <v>192.33333333333334</v>
      </c>
      <c r="F877">
        <v>36.74</v>
      </c>
      <c r="G877" t="s">
        <v>4690</v>
      </c>
      <c r="H877" t="s">
        <v>12</v>
      </c>
      <c r="I877" t="s">
        <v>4689</v>
      </c>
      <c r="J877" t="s">
        <v>1610</v>
      </c>
      <c r="K877" t="s">
        <v>4691</v>
      </c>
    </row>
    <row r="878" spans="1:11">
      <c r="A878" t="s">
        <v>76</v>
      </c>
      <c r="B878" t="s">
        <v>4692</v>
      </c>
      <c r="C878" t="s">
        <v>4693</v>
      </c>
      <c r="D878" s="95">
        <f>Prices!$J$21</f>
        <v>192.33333333333334</v>
      </c>
      <c r="F878">
        <v>54.6</v>
      </c>
      <c r="G878" t="s">
        <v>4694</v>
      </c>
      <c r="H878" t="s">
        <v>12</v>
      </c>
      <c r="I878" t="s">
        <v>4693</v>
      </c>
      <c r="J878" t="s">
        <v>1610</v>
      </c>
      <c r="K878" t="s">
        <v>4695</v>
      </c>
    </row>
    <row r="879" spans="1:11">
      <c r="A879" t="s">
        <v>76</v>
      </c>
      <c r="B879" t="s">
        <v>4696</v>
      </c>
      <c r="C879" t="s">
        <v>4697</v>
      </c>
      <c r="D879" s="95">
        <f>Prices!$J$21</f>
        <v>192.33333333333334</v>
      </c>
      <c r="F879">
        <v>245.72</v>
      </c>
      <c r="G879" t="s">
        <v>4698</v>
      </c>
      <c r="H879" t="s">
        <v>12</v>
      </c>
      <c r="I879" t="s">
        <v>4697</v>
      </c>
      <c r="J879" t="s">
        <v>1610</v>
      </c>
      <c r="K879" t="s">
        <v>4699</v>
      </c>
    </row>
    <row r="880" spans="1:11">
      <c r="A880" t="s">
        <v>10</v>
      </c>
      <c r="B880" t="s">
        <v>4293</v>
      </c>
      <c r="C880" t="s">
        <v>4294</v>
      </c>
      <c r="D880" s="95">
        <f>Prices!$J$21</f>
        <v>192.33333333333334</v>
      </c>
      <c r="F880">
        <v>12.7</v>
      </c>
      <c r="G880" t="s">
        <v>4295</v>
      </c>
      <c r="H880" t="s">
        <v>12</v>
      </c>
      <c r="I880" t="s">
        <v>4294</v>
      </c>
      <c r="J880" t="s">
        <v>1610</v>
      </c>
    </row>
    <row r="881" spans="1:11">
      <c r="A881" t="s">
        <v>76</v>
      </c>
      <c r="B881" t="s">
        <v>4700</v>
      </c>
      <c r="C881" t="s">
        <v>4701</v>
      </c>
      <c r="D881" s="95">
        <f>Prices!$J$21</f>
        <v>192.33333333333334</v>
      </c>
      <c r="F881">
        <v>180.85</v>
      </c>
      <c r="G881" t="s">
        <v>4702</v>
      </c>
      <c r="H881" t="s">
        <v>12</v>
      </c>
      <c r="I881" t="s">
        <v>4701</v>
      </c>
      <c r="J881" t="s">
        <v>1610</v>
      </c>
      <c r="K881" t="s">
        <v>4703</v>
      </c>
    </row>
    <row r="882" spans="1:11">
      <c r="A882" t="s">
        <v>10</v>
      </c>
      <c r="B882" t="s">
        <v>4704</v>
      </c>
      <c r="C882" t="s">
        <v>4705</v>
      </c>
      <c r="D882" s="95">
        <f>Prices!$J$21</f>
        <v>192.33333333333334</v>
      </c>
      <c r="F882">
        <v>75.47</v>
      </c>
      <c r="G882" t="s">
        <v>4706</v>
      </c>
      <c r="H882" t="s">
        <v>12</v>
      </c>
      <c r="I882" t="s">
        <v>4705</v>
      </c>
      <c r="J882" t="s">
        <v>1610</v>
      </c>
      <c r="K882" t="s">
        <v>4707</v>
      </c>
    </row>
    <row r="883" spans="1:11">
      <c r="A883" t="s">
        <v>76</v>
      </c>
      <c r="B883" t="s">
        <v>3290</v>
      </c>
      <c r="C883" t="s">
        <v>3291</v>
      </c>
      <c r="D883" s="95">
        <f>Prices!$J$21</f>
        <v>192.33333333333334</v>
      </c>
      <c r="F883">
        <v>0</v>
      </c>
      <c r="G883" t="s">
        <v>3292</v>
      </c>
      <c r="I883" t="s">
        <v>3291</v>
      </c>
      <c r="J883" t="s">
        <v>1610</v>
      </c>
      <c r="K883" t="s">
        <v>3293</v>
      </c>
    </row>
    <row r="884" spans="1:11">
      <c r="A884" t="s">
        <v>76</v>
      </c>
      <c r="B884" t="s">
        <v>2978</v>
      </c>
      <c r="C884" t="s">
        <v>2979</v>
      </c>
      <c r="D884" s="95">
        <f>Prices!$J$21</f>
        <v>192.33333333333334</v>
      </c>
      <c r="F884">
        <v>0</v>
      </c>
      <c r="G884" t="s">
        <v>2980</v>
      </c>
      <c r="I884" t="s">
        <v>2979</v>
      </c>
      <c r="J884" t="s">
        <v>1610</v>
      </c>
      <c r="K884" t="s">
        <v>2981</v>
      </c>
    </row>
    <row r="885" spans="1:11">
      <c r="A885" t="s">
        <v>76</v>
      </c>
      <c r="B885" t="s">
        <v>1100</v>
      </c>
      <c r="C885" t="s">
        <v>1101</v>
      </c>
      <c r="D885" s="95">
        <f>Prices!$J$25</f>
        <v>209.81818181818181</v>
      </c>
      <c r="F885">
        <v>44.35</v>
      </c>
      <c r="G885" t="s">
        <v>1102</v>
      </c>
      <c r="H885" t="s">
        <v>12</v>
      </c>
      <c r="I885" t="s">
        <v>1101</v>
      </c>
      <c r="J885" t="s">
        <v>940</v>
      </c>
      <c r="K885" t="s">
        <v>1103</v>
      </c>
    </row>
    <row r="886" spans="1:11">
      <c r="A886" t="s">
        <v>76</v>
      </c>
      <c r="B886" t="s">
        <v>1504</v>
      </c>
      <c r="C886" t="s">
        <v>1505</v>
      </c>
      <c r="D886" s="95">
        <f>Prices!$J$25</f>
        <v>209.81818181818181</v>
      </c>
      <c r="F886">
        <v>41.15</v>
      </c>
      <c r="G886" t="s">
        <v>1506</v>
      </c>
      <c r="H886" t="s">
        <v>12</v>
      </c>
      <c r="I886" t="s">
        <v>1505</v>
      </c>
      <c r="J886" t="s">
        <v>940</v>
      </c>
      <c r="K886" t="s">
        <v>965</v>
      </c>
    </row>
    <row r="887" spans="1:11">
      <c r="A887" t="s">
        <v>10</v>
      </c>
      <c r="B887" t="s">
        <v>1537</v>
      </c>
      <c r="C887" t="s">
        <v>1538</v>
      </c>
      <c r="D887" s="95">
        <f>Prices!$J$25</f>
        <v>209.81818181818181</v>
      </c>
      <c r="F887">
        <v>22.06</v>
      </c>
      <c r="G887" t="s">
        <v>1539</v>
      </c>
      <c r="H887" t="s">
        <v>12</v>
      </c>
      <c r="I887" t="s">
        <v>1538</v>
      </c>
      <c r="J887" t="s">
        <v>940</v>
      </c>
      <c r="K887" t="s">
        <v>1540</v>
      </c>
    </row>
    <row r="888" spans="1:11">
      <c r="A888" t="s">
        <v>10</v>
      </c>
      <c r="B888" t="s">
        <v>1304</v>
      </c>
      <c r="C888" t="s">
        <v>1305</v>
      </c>
      <c r="D888" s="95">
        <f>Prices!$J$25</f>
        <v>209.81818181818181</v>
      </c>
      <c r="F888">
        <v>8.14</v>
      </c>
      <c r="G888" t="s">
        <v>1306</v>
      </c>
      <c r="H888" t="s">
        <v>12</v>
      </c>
      <c r="I888" t="s">
        <v>1305</v>
      </c>
      <c r="J888" t="s">
        <v>940</v>
      </c>
    </row>
    <row r="889" spans="1:11">
      <c r="A889" t="s">
        <v>10</v>
      </c>
      <c r="B889" t="s">
        <v>1114</v>
      </c>
      <c r="C889" t="s">
        <v>1115</v>
      </c>
      <c r="D889" s="95">
        <f>Prices!$J$25</f>
        <v>209.81818181818181</v>
      </c>
      <c r="F889">
        <v>17.72</v>
      </c>
      <c r="G889" t="s">
        <v>1116</v>
      </c>
      <c r="H889" t="s">
        <v>12</v>
      </c>
      <c r="I889" t="s">
        <v>1115</v>
      </c>
      <c r="J889" t="s">
        <v>940</v>
      </c>
    </row>
    <row r="890" spans="1:11">
      <c r="A890" t="s">
        <v>76</v>
      </c>
      <c r="B890" t="s">
        <v>1269</v>
      </c>
      <c r="C890" t="s">
        <v>1270</v>
      </c>
      <c r="D890" s="95">
        <f>Prices!$J$25</f>
        <v>209.81818181818181</v>
      </c>
      <c r="F890">
        <v>18.100000000000001</v>
      </c>
      <c r="G890" t="s">
        <v>1271</v>
      </c>
      <c r="H890" t="s">
        <v>12</v>
      </c>
      <c r="I890" t="s">
        <v>1270</v>
      </c>
      <c r="J890" t="s">
        <v>940</v>
      </c>
      <c r="K890" t="s">
        <v>965</v>
      </c>
    </row>
    <row r="891" spans="1:11">
      <c r="A891" t="s">
        <v>76</v>
      </c>
      <c r="B891" t="s">
        <v>1272</v>
      </c>
      <c r="C891" t="s">
        <v>1273</v>
      </c>
      <c r="D891" s="95">
        <f>Prices!$J$25</f>
        <v>209.81818181818181</v>
      </c>
      <c r="F891">
        <v>40.65</v>
      </c>
      <c r="G891" t="s">
        <v>1274</v>
      </c>
      <c r="H891" t="s">
        <v>12</v>
      </c>
      <c r="I891" t="s">
        <v>1273</v>
      </c>
      <c r="J891" t="s">
        <v>940</v>
      </c>
      <c r="K891" t="s">
        <v>1275</v>
      </c>
    </row>
    <row r="892" spans="1:11">
      <c r="A892" t="s">
        <v>76</v>
      </c>
      <c r="B892" t="s">
        <v>1038</v>
      </c>
      <c r="C892" t="s">
        <v>1039</v>
      </c>
      <c r="D892" s="95">
        <f>Prices!$J$25</f>
        <v>209.81818181818181</v>
      </c>
      <c r="F892">
        <v>0</v>
      </c>
      <c r="G892" t="s">
        <v>1040</v>
      </c>
      <c r="I892" t="s">
        <v>1039</v>
      </c>
      <c r="J892" t="s">
        <v>940</v>
      </c>
      <c r="K892" t="s">
        <v>965</v>
      </c>
    </row>
    <row r="893" spans="1:11">
      <c r="A893" t="s">
        <v>10</v>
      </c>
      <c r="B893" t="s">
        <v>1104</v>
      </c>
      <c r="C893" t="s">
        <v>1183</v>
      </c>
      <c r="D893" s="95">
        <f>Prices!$J$25</f>
        <v>209.81818181818181</v>
      </c>
      <c r="F893">
        <v>0.26</v>
      </c>
      <c r="G893" t="s">
        <v>1184</v>
      </c>
      <c r="H893" t="s">
        <v>12</v>
      </c>
      <c r="I893" t="s">
        <v>1183</v>
      </c>
      <c r="J893" t="s">
        <v>940</v>
      </c>
    </row>
    <row r="894" spans="1:11">
      <c r="A894" t="s">
        <v>10</v>
      </c>
      <c r="B894" t="s">
        <v>1104</v>
      </c>
      <c r="C894" t="s">
        <v>1105</v>
      </c>
      <c r="D894" s="95">
        <f>Prices!$J$25</f>
        <v>209.81818181818181</v>
      </c>
      <c r="F894">
        <v>0.64</v>
      </c>
      <c r="G894" t="s">
        <v>1106</v>
      </c>
      <c r="H894" t="s">
        <v>12</v>
      </c>
      <c r="I894" t="s">
        <v>1105</v>
      </c>
      <c r="J894" t="s">
        <v>940</v>
      </c>
      <c r="K894" t="s">
        <v>1107</v>
      </c>
    </row>
    <row r="895" spans="1:11">
      <c r="A895" t="s">
        <v>23</v>
      </c>
      <c r="B895" t="s">
        <v>1001</v>
      </c>
      <c r="C895" t="s">
        <v>1002</v>
      </c>
      <c r="D895" s="95">
        <f>Prices!$J$25</f>
        <v>209.81818181818181</v>
      </c>
      <c r="F895">
        <v>4.74</v>
      </c>
      <c r="G895" t="s">
        <v>1003</v>
      </c>
      <c r="H895" t="s">
        <v>12</v>
      </c>
      <c r="I895" t="s">
        <v>1002</v>
      </c>
      <c r="J895" t="s">
        <v>940</v>
      </c>
    </row>
    <row r="896" spans="1:11">
      <c r="A896" t="s">
        <v>76</v>
      </c>
      <c r="B896" t="s">
        <v>1097</v>
      </c>
      <c r="C896" t="s">
        <v>1098</v>
      </c>
      <c r="D896" s="95">
        <f>Prices!$J$25</f>
        <v>209.81818181818181</v>
      </c>
      <c r="F896">
        <v>0</v>
      </c>
      <c r="G896" t="s">
        <v>1099</v>
      </c>
      <c r="I896" t="s">
        <v>1098</v>
      </c>
      <c r="J896" t="s">
        <v>940</v>
      </c>
      <c r="K896" t="s">
        <v>965</v>
      </c>
    </row>
    <row r="897" spans="1:11">
      <c r="A897" t="s">
        <v>10</v>
      </c>
      <c r="B897" t="s">
        <v>1146</v>
      </c>
      <c r="C897" t="s">
        <v>1147</v>
      </c>
      <c r="D897" s="95">
        <f>Prices!$J$25</f>
        <v>209.81818181818181</v>
      </c>
      <c r="F897">
        <v>8.7899999999999991</v>
      </c>
      <c r="G897" t="s">
        <v>1148</v>
      </c>
      <c r="H897" t="s">
        <v>12</v>
      </c>
      <c r="I897" t="s">
        <v>1147</v>
      </c>
      <c r="J897" t="s">
        <v>940</v>
      </c>
    </row>
    <row r="898" spans="1:11">
      <c r="A898" t="s">
        <v>10</v>
      </c>
      <c r="B898" t="s">
        <v>1521</v>
      </c>
      <c r="C898" t="s">
        <v>1522</v>
      </c>
      <c r="D898" s="95">
        <f>Prices!$J$25</f>
        <v>209.81818181818181</v>
      </c>
      <c r="F898">
        <v>17.84</v>
      </c>
      <c r="G898" t="s">
        <v>1523</v>
      </c>
      <c r="H898" t="s">
        <v>12</v>
      </c>
      <c r="I898" t="s">
        <v>1522</v>
      </c>
      <c r="J898" t="s">
        <v>940</v>
      </c>
      <c r="K898" t="s">
        <v>1524</v>
      </c>
    </row>
    <row r="899" spans="1:11">
      <c r="A899" t="s">
        <v>10</v>
      </c>
      <c r="B899" t="s">
        <v>969</v>
      </c>
      <c r="C899" t="s">
        <v>970</v>
      </c>
      <c r="D899" s="95">
        <f>Prices!$J$25</f>
        <v>209.81818181818181</v>
      </c>
      <c r="F899">
        <v>27.54</v>
      </c>
      <c r="G899" t="s">
        <v>971</v>
      </c>
      <c r="H899" t="s">
        <v>12</v>
      </c>
      <c r="I899" t="s">
        <v>970</v>
      </c>
      <c r="J899" t="s">
        <v>940</v>
      </c>
      <c r="K899" t="s">
        <v>972</v>
      </c>
    </row>
    <row r="900" spans="1:11">
      <c r="A900" t="s">
        <v>10</v>
      </c>
      <c r="B900" t="s">
        <v>1237</v>
      </c>
      <c r="C900" t="s">
        <v>1238</v>
      </c>
      <c r="D900" s="95">
        <f>Prices!$J$25</f>
        <v>209.81818181818181</v>
      </c>
      <c r="F900">
        <v>8.41</v>
      </c>
      <c r="G900" t="s">
        <v>1541</v>
      </c>
      <c r="H900" t="s">
        <v>12</v>
      </c>
      <c r="I900" t="s">
        <v>1238</v>
      </c>
      <c r="J900" t="s">
        <v>940</v>
      </c>
      <c r="K900" t="s">
        <v>1542</v>
      </c>
    </row>
    <row r="901" spans="1:11">
      <c r="A901" t="s">
        <v>76</v>
      </c>
      <c r="B901" t="s">
        <v>1239</v>
      </c>
      <c r="C901" t="s">
        <v>1240</v>
      </c>
      <c r="D901" s="95">
        <f>Prices!$J$25</f>
        <v>209.81818181818181</v>
      </c>
      <c r="F901">
        <v>44.1</v>
      </c>
      <c r="G901" t="s">
        <v>1241</v>
      </c>
      <c r="H901" t="s">
        <v>12</v>
      </c>
      <c r="I901" t="s">
        <v>1240</v>
      </c>
      <c r="J901" t="s">
        <v>940</v>
      </c>
      <c r="K901" t="s">
        <v>1242</v>
      </c>
    </row>
    <row r="902" spans="1:11">
      <c r="A902" t="s">
        <v>76</v>
      </c>
      <c r="B902" t="s">
        <v>1126</v>
      </c>
      <c r="C902" t="s">
        <v>1127</v>
      </c>
      <c r="D902" s="95">
        <f>Prices!$J$25</f>
        <v>209.81818181818181</v>
      </c>
      <c r="F902">
        <v>0</v>
      </c>
      <c r="G902" t="s">
        <v>1128</v>
      </c>
      <c r="I902" t="s">
        <v>1127</v>
      </c>
      <c r="J902" t="s">
        <v>940</v>
      </c>
      <c r="K902" t="s">
        <v>1129</v>
      </c>
    </row>
    <row r="903" spans="1:11">
      <c r="A903" t="s">
        <v>76</v>
      </c>
      <c r="B903" t="s">
        <v>1384</v>
      </c>
      <c r="C903" t="s">
        <v>1385</v>
      </c>
      <c r="D903" s="95">
        <f>Prices!$J$25</f>
        <v>209.81818181818181</v>
      </c>
      <c r="F903">
        <v>12.48</v>
      </c>
      <c r="G903" t="s">
        <v>1386</v>
      </c>
      <c r="H903" t="s">
        <v>12</v>
      </c>
      <c r="I903" t="s">
        <v>1385</v>
      </c>
      <c r="J903" t="s">
        <v>940</v>
      </c>
      <c r="K903" t="s">
        <v>965</v>
      </c>
    </row>
    <row r="904" spans="1:11">
      <c r="A904" t="s">
        <v>76</v>
      </c>
      <c r="B904" t="s">
        <v>1243</v>
      </c>
      <c r="C904" t="s">
        <v>1244</v>
      </c>
      <c r="D904" s="95">
        <f>Prices!$J$25</f>
        <v>209.81818181818181</v>
      </c>
      <c r="F904">
        <v>41.79</v>
      </c>
      <c r="G904" t="s">
        <v>1245</v>
      </c>
      <c r="H904" t="s">
        <v>12</v>
      </c>
      <c r="I904" t="s">
        <v>1244</v>
      </c>
      <c r="J904" t="s">
        <v>940</v>
      </c>
      <c r="K904" t="s">
        <v>1246</v>
      </c>
    </row>
    <row r="905" spans="1:11">
      <c r="A905" t="s">
        <v>76</v>
      </c>
      <c r="B905" t="s">
        <v>1605</v>
      </c>
      <c r="C905" t="s">
        <v>1606</v>
      </c>
      <c r="D905" s="95">
        <f>Prices!$J$25</f>
        <v>209.81818181818181</v>
      </c>
      <c r="F905">
        <v>0</v>
      </c>
      <c r="G905" t="s">
        <v>1607</v>
      </c>
      <c r="I905" t="s">
        <v>1606</v>
      </c>
      <c r="J905" t="s">
        <v>940</v>
      </c>
      <c r="K905" t="s">
        <v>965</v>
      </c>
    </row>
    <row r="906" spans="1:11">
      <c r="A906" t="s">
        <v>76</v>
      </c>
      <c r="B906" t="s">
        <v>1318</v>
      </c>
      <c r="C906" t="s">
        <v>1319</v>
      </c>
      <c r="D906" s="95">
        <f>Prices!$J$25</f>
        <v>209.81818181818181</v>
      </c>
      <c r="F906">
        <v>201.01</v>
      </c>
      <c r="G906" t="s">
        <v>1532</v>
      </c>
      <c r="H906" t="s">
        <v>12</v>
      </c>
      <c r="I906" t="s">
        <v>1319</v>
      </c>
      <c r="J906" t="s">
        <v>940</v>
      </c>
    </row>
    <row r="907" spans="1:11">
      <c r="A907" t="s">
        <v>10</v>
      </c>
      <c r="B907" t="s">
        <v>1567</v>
      </c>
      <c r="C907" t="s">
        <v>1568</v>
      </c>
      <c r="D907" s="95">
        <f>Prices!$J$25</f>
        <v>209.81818181818181</v>
      </c>
      <c r="F907">
        <v>4.09</v>
      </c>
      <c r="G907" t="s">
        <v>1569</v>
      </c>
      <c r="H907" t="s">
        <v>12</v>
      </c>
      <c r="I907" t="s">
        <v>1568</v>
      </c>
      <c r="J907" t="s">
        <v>940</v>
      </c>
    </row>
    <row r="908" spans="1:11">
      <c r="A908" t="s">
        <v>23</v>
      </c>
      <c r="B908" t="s">
        <v>1012</v>
      </c>
      <c r="C908" t="s">
        <v>1013</v>
      </c>
      <c r="D908" s="95">
        <f>Prices!$J$25</f>
        <v>209.81818181818181</v>
      </c>
      <c r="F908">
        <v>4.71</v>
      </c>
      <c r="G908" t="s">
        <v>1014</v>
      </c>
      <c r="H908" t="s">
        <v>12</v>
      </c>
      <c r="I908" t="s">
        <v>1013</v>
      </c>
      <c r="J908" t="s">
        <v>940</v>
      </c>
    </row>
    <row r="909" spans="1:11">
      <c r="A909" t="s">
        <v>76</v>
      </c>
      <c r="B909" t="s">
        <v>1247</v>
      </c>
      <c r="C909" t="s">
        <v>1248</v>
      </c>
      <c r="D909" s="95">
        <f>Prices!$J$25</f>
        <v>209.81818181818181</v>
      </c>
      <c r="F909">
        <v>13.81</v>
      </c>
      <c r="G909" t="s">
        <v>1249</v>
      </c>
      <c r="H909" t="s">
        <v>12</v>
      </c>
      <c r="I909" t="s">
        <v>1248</v>
      </c>
      <c r="J909" t="s">
        <v>940</v>
      </c>
      <c r="K909" t="s">
        <v>1250</v>
      </c>
    </row>
    <row r="910" spans="1:11">
      <c r="A910" t="s">
        <v>76</v>
      </c>
      <c r="B910" t="s">
        <v>1158</v>
      </c>
      <c r="C910" t="s">
        <v>1159</v>
      </c>
      <c r="D910" s="95">
        <f>Prices!$J$25</f>
        <v>209.81818181818181</v>
      </c>
      <c r="F910">
        <v>0</v>
      </c>
      <c r="G910" t="s">
        <v>1160</v>
      </c>
      <c r="I910" t="s">
        <v>1159</v>
      </c>
      <c r="J910" t="s">
        <v>940</v>
      </c>
      <c r="K910" t="s">
        <v>1161</v>
      </c>
    </row>
    <row r="911" spans="1:11">
      <c r="A911" t="s">
        <v>76</v>
      </c>
      <c r="B911" t="s">
        <v>1251</v>
      </c>
      <c r="C911" t="s">
        <v>1252</v>
      </c>
      <c r="D911" s="95">
        <f>Prices!$J$25</f>
        <v>209.81818181818181</v>
      </c>
      <c r="F911">
        <v>6.32</v>
      </c>
      <c r="G911" t="s">
        <v>1253</v>
      </c>
      <c r="H911" t="s">
        <v>12</v>
      </c>
      <c r="I911" t="s">
        <v>1252</v>
      </c>
      <c r="J911" t="s">
        <v>940</v>
      </c>
      <c r="K911" t="s">
        <v>965</v>
      </c>
    </row>
    <row r="912" spans="1:11">
      <c r="A912" t="s">
        <v>76</v>
      </c>
      <c r="B912" t="s">
        <v>1254</v>
      </c>
      <c r="C912" t="s">
        <v>1255</v>
      </c>
      <c r="D912" s="95">
        <f>Prices!$J$25</f>
        <v>209.81818181818181</v>
      </c>
      <c r="F912">
        <v>8.42</v>
      </c>
      <c r="G912" t="s">
        <v>1256</v>
      </c>
      <c r="H912" t="s">
        <v>12</v>
      </c>
      <c r="I912" t="s">
        <v>1255</v>
      </c>
      <c r="J912" t="s">
        <v>940</v>
      </c>
      <c r="K912" t="s">
        <v>965</v>
      </c>
    </row>
    <row r="913" spans="1:11">
      <c r="A913" t="s">
        <v>10</v>
      </c>
      <c r="B913" t="s">
        <v>1065</v>
      </c>
      <c r="C913" t="s">
        <v>1066</v>
      </c>
      <c r="D913" s="95">
        <f>Prices!$J$25</f>
        <v>209.81818181818181</v>
      </c>
      <c r="F913">
        <v>9.9600000000000009</v>
      </c>
      <c r="G913" t="s">
        <v>1067</v>
      </c>
      <c r="H913" t="s">
        <v>12</v>
      </c>
      <c r="I913" t="s">
        <v>1066</v>
      </c>
      <c r="J913" t="s">
        <v>940</v>
      </c>
    </row>
    <row r="914" spans="1:11">
      <c r="A914" t="s">
        <v>76</v>
      </c>
      <c r="B914" t="s">
        <v>1260</v>
      </c>
      <c r="C914" t="s">
        <v>1261</v>
      </c>
      <c r="D914" s="95">
        <f>Prices!$J$25</f>
        <v>209.81818181818181</v>
      </c>
      <c r="F914">
        <v>9.1999999999999993</v>
      </c>
      <c r="G914" t="s">
        <v>1262</v>
      </c>
      <c r="H914" t="s">
        <v>12</v>
      </c>
      <c r="I914" t="s">
        <v>1261</v>
      </c>
      <c r="J914" t="s">
        <v>940</v>
      </c>
      <c r="K914" t="s">
        <v>965</v>
      </c>
    </row>
    <row r="915" spans="1:11">
      <c r="A915" t="s">
        <v>76</v>
      </c>
      <c r="B915" t="s">
        <v>1263</v>
      </c>
      <c r="C915" t="s">
        <v>1264</v>
      </c>
      <c r="D915" s="95">
        <f>Prices!$J$25</f>
        <v>209.81818181818181</v>
      </c>
      <c r="F915">
        <v>0.21</v>
      </c>
      <c r="G915" t="s">
        <v>1265</v>
      </c>
      <c r="H915" t="s">
        <v>12</v>
      </c>
      <c r="I915" t="s">
        <v>1264</v>
      </c>
      <c r="J915" t="s">
        <v>940</v>
      </c>
      <c r="K915" t="s">
        <v>965</v>
      </c>
    </row>
    <row r="916" spans="1:11">
      <c r="A916" t="s">
        <v>76</v>
      </c>
      <c r="B916" t="s">
        <v>1153</v>
      </c>
      <c r="C916" t="s">
        <v>1154</v>
      </c>
      <c r="D916" s="95">
        <f>Prices!$J$25</f>
        <v>209.81818181818181</v>
      </c>
      <c r="F916">
        <v>0</v>
      </c>
      <c r="G916" t="s">
        <v>1155</v>
      </c>
      <c r="I916" t="s">
        <v>1154</v>
      </c>
      <c r="J916" t="s">
        <v>940</v>
      </c>
      <c r="K916" t="s">
        <v>965</v>
      </c>
    </row>
    <row r="917" spans="1:11">
      <c r="A917" t="s">
        <v>76</v>
      </c>
      <c r="B917" t="s">
        <v>1266</v>
      </c>
      <c r="C917" t="s">
        <v>1267</v>
      </c>
      <c r="D917" s="95">
        <f>Prices!$J$25</f>
        <v>209.81818181818181</v>
      </c>
      <c r="F917">
        <v>2.65</v>
      </c>
      <c r="G917" t="s">
        <v>1268</v>
      </c>
      <c r="H917" t="s">
        <v>12</v>
      </c>
      <c r="I917" t="s">
        <v>1267</v>
      </c>
      <c r="J917" t="s">
        <v>940</v>
      </c>
      <c r="K917" t="s">
        <v>965</v>
      </c>
    </row>
    <row r="918" spans="1:11">
      <c r="A918" t="s">
        <v>10</v>
      </c>
      <c r="B918" t="s">
        <v>1089</v>
      </c>
      <c r="C918" t="s">
        <v>1090</v>
      </c>
      <c r="D918" s="95">
        <f>Prices!$J$25</f>
        <v>209.81818181818181</v>
      </c>
      <c r="F918">
        <v>8.89</v>
      </c>
      <c r="G918" t="s">
        <v>1091</v>
      </c>
      <c r="H918" t="s">
        <v>12</v>
      </c>
      <c r="I918" t="s">
        <v>1090</v>
      </c>
      <c r="J918" t="s">
        <v>940</v>
      </c>
    </row>
    <row r="919" spans="1:11">
      <c r="A919" t="s">
        <v>10</v>
      </c>
      <c r="B919" t="s">
        <v>2477</v>
      </c>
      <c r="C919" t="s">
        <v>2478</v>
      </c>
      <c r="D919" s="95">
        <f>Prices!$J$25</f>
        <v>209.81818181818181</v>
      </c>
      <c r="F919">
        <v>15.84</v>
      </c>
      <c r="G919" t="s">
        <v>2479</v>
      </c>
      <c r="H919" t="s">
        <v>12</v>
      </c>
      <c r="I919" t="s">
        <v>2478</v>
      </c>
      <c r="J919" t="s">
        <v>1610</v>
      </c>
    </row>
    <row r="920" spans="1:11">
      <c r="A920" t="s">
        <v>10</v>
      </c>
      <c r="B920" t="s">
        <v>959</v>
      </c>
      <c r="C920" t="s">
        <v>960</v>
      </c>
      <c r="D920" s="95">
        <f>Prices!$J$25</f>
        <v>209.81818181818181</v>
      </c>
      <c r="F920">
        <v>10.72</v>
      </c>
      <c r="G920" t="s">
        <v>961</v>
      </c>
      <c r="H920" t="s">
        <v>12</v>
      </c>
      <c r="I920" t="s">
        <v>960</v>
      </c>
      <c r="J920" t="s">
        <v>940</v>
      </c>
    </row>
    <row r="921" spans="1:11">
      <c r="A921" t="s">
        <v>10</v>
      </c>
      <c r="B921" t="s">
        <v>1563</v>
      </c>
      <c r="C921" t="s">
        <v>1564</v>
      </c>
      <c r="D921" s="95">
        <f>Prices!$J$25</f>
        <v>209.81818181818181</v>
      </c>
      <c r="F921">
        <v>11.41</v>
      </c>
      <c r="G921" t="s">
        <v>1565</v>
      </c>
      <c r="H921" t="s">
        <v>12</v>
      </c>
      <c r="I921" t="s">
        <v>1564</v>
      </c>
      <c r="J921" t="s">
        <v>940</v>
      </c>
      <c r="K921" t="s">
        <v>1566</v>
      </c>
    </row>
    <row r="922" spans="1:11">
      <c r="A922" t="s">
        <v>980</v>
      </c>
      <c r="B922" t="s">
        <v>1550</v>
      </c>
      <c r="C922" t="s">
        <v>1551</v>
      </c>
      <c r="D922" s="95">
        <f>Prices!$J$25</f>
        <v>209.81818181818181</v>
      </c>
      <c r="F922">
        <v>0</v>
      </c>
      <c r="G922" t="s">
        <v>1552</v>
      </c>
      <c r="I922" t="s">
        <v>1551</v>
      </c>
      <c r="J922" t="s">
        <v>940</v>
      </c>
      <c r="K922" t="s">
        <v>1553</v>
      </c>
    </row>
    <row r="923" spans="1:11">
      <c r="A923" t="s">
        <v>76</v>
      </c>
      <c r="B923" t="s">
        <v>796</v>
      </c>
      <c r="C923" t="s">
        <v>797</v>
      </c>
      <c r="D923" s="96">
        <f>Prices!$G$81</f>
        <v>217.73584905660377</v>
      </c>
      <c r="F923">
        <v>76.41</v>
      </c>
      <c r="G923" t="s">
        <v>798</v>
      </c>
      <c r="H923" t="s">
        <v>12</v>
      </c>
      <c r="I923" t="s">
        <v>797</v>
      </c>
      <c r="J923" t="s">
        <v>13</v>
      </c>
      <c r="K923" t="s">
        <v>799</v>
      </c>
    </row>
    <row r="924" spans="1:11">
      <c r="A924" t="s">
        <v>76</v>
      </c>
      <c r="B924" t="s">
        <v>2032</v>
      </c>
      <c r="C924" t="s">
        <v>2033</v>
      </c>
      <c r="D924" s="96">
        <f>Prices!$G$81</f>
        <v>217.73584905660377</v>
      </c>
      <c r="F924">
        <v>193.5</v>
      </c>
      <c r="G924" t="s">
        <v>2034</v>
      </c>
      <c r="H924" t="s">
        <v>12</v>
      </c>
      <c r="I924" t="s">
        <v>2033</v>
      </c>
      <c r="J924" t="s">
        <v>1610</v>
      </c>
      <c r="K924" t="s">
        <v>2035</v>
      </c>
    </row>
    <row r="925" spans="1:11">
      <c r="A925" t="s">
        <v>76</v>
      </c>
      <c r="B925" t="s">
        <v>1965</v>
      </c>
      <c r="C925" t="s">
        <v>1966</v>
      </c>
      <c r="D925" s="96">
        <f>Prices!$G$81</f>
        <v>217.73584905660377</v>
      </c>
      <c r="F925">
        <v>158.65</v>
      </c>
      <c r="G925" t="s">
        <v>1967</v>
      </c>
      <c r="H925" t="s">
        <v>12</v>
      </c>
      <c r="I925" t="s">
        <v>1966</v>
      </c>
      <c r="J925" t="s">
        <v>1610</v>
      </c>
      <c r="K925" t="s">
        <v>1968</v>
      </c>
    </row>
    <row r="926" spans="1:11">
      <c r="A926" t="s">
        <v>76</v>
      </c>
      <c r="B926" t="s">
        <v>3505</v>
      </c>
      <c r="C926" t="s">
        <v>3506</v>
      </c>
      <c r="D926" s="96">
        <f>Prices!$G$81</f>
        <v>217.73584905660377</v>
      </c>
      <c r="F926">
        <v>23.23</v>
      </c>
      <c r="G926" t="s">
        <v>3507</v>
      </c>
      <c r="H926" t="s">
        <v>12</v>
      </c>
      <c r="I926" t="s">
        <v>3506</v>
      </c>
      <c r="J926" t="s">
        <v>1610</v>
      </c>
      <c r="K926" t="s">
        <v>3508</v>
      </c>
    </row>
    <row r="927" spans="1:11">
      <c r="A927" t="s">
        <v>76</v>
      </c>
      <c r="B927" t="s">
        <v>2679</v>
      </c>
      <c r="C927" t="s">
        <v>2680</v>
      </c>
      <c r="D927" s="96">
        <f>Prices!$G$81</f>
        <v>217.73584905660377</v>
      </c>
      <c r="F927">
        <v>79.02</v>
      </c>
      <c r="G927" t="s">
        <v>2681</v>
      </c>
      <c r="H927" t="s">
        <v>12</v>
      </c>
      <c r="I927" t="s">
        <v>2680</v>
      </c>
      <c r="J927" t="s">
        <v>1610</v>
      </c>
    </row>
    <row r="928" spans="1:11">
      <c r="A928" t="s">
        <v>76</v>
      </c>
      <c r="B928" t="s">
        <v>131</v>
      </c>
      <c r="C928" t="s">
        <v>132</v>
      </c>
      <c r="D928" s="96">
        <f>Prices!$G$81</f>
        <v>217.73584905660377</v>
      </c>
      <c r="F928">
        <v>0</v>
      </c>
      <c r="G928" t="s">
        <v>133</v>
      </c>
      <c r="I928" t="s">
        <v>132</v>
      </c>
      <c r="J928" t="s">
        <v>13</v>
      </c>
      <c r="K928" t="s">
        <v>134</v>
      </c>
    </row>
    <row r="929" spans="1:11">
      <c r="A929" t="s">
        <v>76</v>
      </c>
      <c r="B929" t="s">
        <v>1883</v>
      </c>
      <c r="C929" t="s">
        <v>1884</v>
      </c>
      <c r="D929" s="96">
        <f>Prices!$G$81</f>
        <v>217.73584905660377</v>
      </c>
      <c r="F929">
        <v>24.86</v>
      </c>
      <c r="G929" t="s">
        <v>1885</v>
      </c>
      <c r="H929" t="s">
        <v>12</v>
      </c>
      <c r="I929" t="s">
        <v>1884</v>
      </c>
      <c r="J929" t="s">
        <v>1610</v>
      </c>
      <c r="K929" t="s">
        <v>1886</v>
      </c>
    </row>
    <row r="930" spans="1:11">
      <c r="A930" t="s">
        <v>76</v>
      </c>
      <c r="B930" t="s">
        <v>1887</v>
      </c>
      <c r="C930" t="s">
        <v>1888</v>
      </c>
      <c r="D930" s="96">
        <f>Prices!$G$81</f>
        <v>217.73584905660377</v>
      </c>
      <c r="F930">
        <v>226.9</v>
      </c>
      <c r="G930" t="s">
        <v>1889</v>
      </c>
      <c r="H930" t="s">
        <v>12</v>
      </c>
      <c r="I930" t="s">
        <v>1888</v>
      </c>
      <c r="J930" t="s">
        <v>1610</v>
      </c>
      <c r="K930" t="s">
        <v>1890</v>
      </c>
    </row>
    <row r="931" spans="1:11">
      <c r="A931" t="s">
        <v>76</v>
      </c>
      <c r="B931" t="s">
        <v>612</v>
      </c>
      <c r="C931" t="s">
        <v>613</v>
      </c>
      <c r="D931" s="96">
        <f>Prices!$G$81</f>
        <v>217.73584905660377</v>
      </c>
      <c r="F931">
        <v>5.15</v>
      </c>
      <c r="G931" t="s">
        <v>614</v>
      </c>
      <c r="H931" t="s">
        <v>12</v>
      </c>
      <c r="I931" t="s">
        <v>613</v>
      </c>
      <c r="J931" t="s">
        <v>13</v>
      </c>
      <c r="K931" t="s">
        <v>615</v>
      </c>
    </row>
    <row r="932" spans="1:11">
      <c r="A932" t="s">
        <v>39</v>
      </c>
      <c r="B932" t="s">
        <v>1893</v>
      </c>
      <c r="C932" t="s">
        <v>1894</v>
      </c>
      <c r="D932" s="96">
        <f>Prices!$G$81</f>
        <v>217.73584905660377</v>
      </c>
      <c r="F932">
        <v>16.77</v>
      </c>
      <c r="G932" t="s">
        <v>3749</v>
      </c>
      <c r="H932" t="s">
        <v>12</v>
      </c>
      <c r="I932" t="s">
        <v>1894</v>
      </c>
      <c r="J932" t="s">
        <v>1610</v>
      </c>
      <c r="K932" t="s">
        <v>3750</v>
      </c>
    </row>
    <row r="933" spans="1:11">
      <c r="A933" t="s">
        <v>76</v>
      </c>
      <c r="B933" t="s">
        <v>3945</v>
      </c>
      <c r="C933" t="s">
        <v>3946</v>
      </c>
      <c r="D933" s="96">
        <f>Prices!$G$81</f>
        <v>217.73584905660377</v>
      </c>
      <c r="F933">
        <v>45.95</v>
      </c>
      <c r="G933" t="s">
        <v>3947</v>
      </c>
      <c r="H933" t="s">
        <v>12</v>
      </c>
      <c r="I933" t="s">
        <v>3946</v>
      </c>
      <c r="J933" t="s">
        <v>1610</v>
      </c>
    </row>
    <row r="934" spans="1:11">
      <c r="A934" t="s">
        <v>39</v>
      </c>
      <c r="B934" t="s">
        <v>1891</v>
      </c>
      <c r="C934" t="s">
        <v>1892</v>
      </c>
      <c r="D934" s="96">
        <f>Prices!$G$81</f>
        <v>217.73584905660377</v>
      </c>
      <c r="F934">
        <v>0</v>
      </c>
      <c r="G934" t="s">
        <v>3402</v>
      </c>
      <c r="I934" t="s">
        <v>1892</v>
      </c>
      <c r="J934" t="s">
        <v>1610</v>
      </c>
    </row>
    <row r="935" spans="1:11">
      <c r="A935" t="s">
        <v>76</v>
      </c>
      <c r="B935" t="s">
        <v>87</v>
      </c>
      <c r="C935" t="s">
        <v>88</v>
      </c>
      <c r="D935" s="96">
        <f>Prices!$G$81</f>
        <v>217.73584905660377</v>
      </c>
      <c r="F935">
        <v>44.53</v>
      </c>
      <c r="G935" t="s">
        <v>616</v>
      </c>
      <c r="H935" t="s">
        <v>12</v>
      </c>
      <c r="I935" t="s">
        <v>88</v>
      </c>
      <c r="J935" t="s">
        <v>13</v>
      </c>
      <c r="K935" t="s">
        <v>617</v>
      </c>
    </row>
    <row r="936" spans="1:11">
      <c r="A936" t="s">
        <v>76</v>
      </c>
      <c r="B936" t="s">
        <v>1899</v>
      </c>
      <c r="C936" t="s">
        <v>1900</v>
      </c>
      <c r="D936" s="96">
        <f>Prices!$G$81</f>
        <v>217.73584905660377</v>
      </c>
      <c r="F936">
        <v>37.32</v>
      </c>
      <c r="G936" t="s">
        <v>1901</v>
      </c>
      <c r="H936" t="s">
        <v>12</v>
      </c>
      <c r="I936" t="s">
        <v>1900</v>
      </c>
      <c r="J936" t="s">
        <v>1610</v>
      </c>
      <c r="K936" t="s">
        <v>1902</v>
      </c>
    </row>
    <row r="937" spans="1:11">
      <c r="A937" t="s">
        <v>76</v>
      </c>
      <c r="B937" t="s">
        <v>1895</v>
      </c>
      <c r="C937" t="s">
        <v>1896</v>
      </c>
      <c r="D937" s="96">
        <f>Prices!$G$81</f>
        <v>217.73584905660377</v>
      </c>
      <c r="F937">
        <v>129.08000000000001</v>
      </c>
      <c r="G937" t="s">
        <v>1897</v>
      </c>
      <c r="H937" t="s">
        <v>12</v>
      </c>
      <c r="I937" t="s">
        <v>1896</v>
      </c>
      <c r="J937" t="s">
        <v>1610</v>
      </c>
      <c r="K937" t="s">
        <v>1898</v>
      </c>
    </row>
    <row r="938" spans="1:11">
      <c r="A938" t="s">
        <v>76</v>
      </c>
      <c r="B938" t="s">
        <v>810</v>
      </c>
      <c r="C938" t="s">
        <v>811</v>
      </c>
      <c r="D938" s="96">
        <f>Prices!$G$81</f>
        <v>217.73584905660377</v>
      </c>
      <c r="F938">
        <v>102.59</v>
      </c>
      <c r="G938" t="s">
        <v>812</v>
      </c>
      <c r="H938" t="s">
        <v>12</v>
      </c>
      <c r="I938" t="s">
        <v>811</v>
      </c>
      <c r="J938" t="s">
        <v>13</v>
      </c>
    </row>
    <row r="939" spans="1:11">
      <c r="A939" t="s">
        <v>76</v>
      </c>
      <c r="B939" t="s">
        <v>1905</v>
      </c>
      <c r="C939" t="s">
        <v>1906</v>
      </c>
      <c r="D939" s="96">
        <f>Prices!$G$81</f>
        <v>217.73584905660377</v>
      </c>
      <c r="F939">
        <v>5298.32</v>
      </c>
      <c r="G939" t="s">
        <v>1907</v>
      </c>
      <c r="H939" t="s">
        <v>12</v>
      </c>
      <c r="I939" t="s">
        <v>1906</v>
      </c>
      <c r="J939" t="s">
        <v>1610</v>
      </c>
      <c r="K939" t="s">
        <v>1908</v>
      </c>
    </row>
    <row r="940" spans="1:11">
      <c r="A940" t="s">
        <v>23</v>
      </c>
      <c r="B940" t="s">
        <v>1903</v>
      </c>
      <c r="C940" t="s">
        <v>1904</v>
      </c>
      <c r="D940" s="96">
        <f>Prices!$G$81</f>
        <v>217.73584905660377</v>
      </c>
      <c r="F940">
        <v>298.89</v>
      </c>
      <c r="G940" t="s">
        <v>4209</v>
      </c>
      <c r="H940" t="s">
        <v>12</v>
      </c>
      <c r="I940" t="s">
        <v>1904</v>
      </c>
      <c r="J940" t="s">
        <v>1610</v>
      </c>
      <c r="K940" t="s">
        <v>4210</v>
      </c>
    </row>
    <row r="941" spans="1:11">
      <c r="A941" t="s">
        <v>76</v>
      </c>
      <c r="B941" t="s">
        <v>1917</v>
      </c>
      <c r="C941" t="s">
        <v>1918</v>
      </c>
      <c r="D941" s="96">
        <f>Prices!$G$81</f>
        <v>217.73584905660377</v>
      </c>
      <c r="F941">
        <v>976.65</v>
      </c>
      <c r="G941" t="s">
        <v>1919</v>
      </c>
      <c r="H941" t="s">
        <v>12</v>
      </c>
      <c r="I941" t="s">
        <v>1918</v>
      </c>
      <c r="J941" t="s">
        <v>1610</v>
      </c>
      <c r="K941" t="s">
        <v>1920</v>
      </c>
    </row>
    <row r="942" spans="1:11">
      <c r="A942" t="s">
        <v>76</v>
      </c>
      <c r="B942" t="s">
        <v>1909</v>
      </c>
      <c r="C942" t="s">
        <v>1910</v>
      </c>
      <c r="D942" s="96">
        <f>Prices!$G$81</f>
        <v>217.73584905660377</v>
      </c>
      <c r="F942">
        <v>33.49</v>
      </c>
      <c r="G942" t="s">
        <v>1911</v>
      </c>
      <c r="H942" t="s">
        <v>12</v>
      </c>
      <c r="I942" t="s">
        <v>1910</v>
      </c>
      <c r="J942" t="s">
        <v>1610</v>
      </c>
      <c r="K942" t="s">
        <v>1912</v>
      </c>
    </row>
    <row r="943" spans="1:11">
      <c r="A943" t="s">
        <v>76</v>
      </c>
      <c r="B943" t="s">
        <v>1921</v>
      </c>
      <c r="C943" t="s">
        <v>1922</v>
      </c>
      <c r="D943" s="96">
        <f>Prices!$G$81</f>
        <v>217.73584905660377</v>
      </c>
      <c r="F943">
        <v>131.19999999999999</v>
      </c>
      <c r="G943" t="s">
        <v>1923</v>
      </c>
      <c r="H943" t="s">
        <v>12</v>
      </c>
      <c r="I943" t="s">
        <v>1922</v>
      </c>
      <c r="J943" t="s">
        <v>1610</v>
      </c>
      <c r="K943" t="s">
        <v>1924</v>
      </c>
    </row>
    <row r="944" spans="1:11">
      <c r="A944" t="s">
        <v>76</v>
      </c>
      <c r="B944" t="s">
        <v>1913</v>
      </c>
      <c r="C944" t="s">
        <v>1914</v>
      </c>
      <c r="D944" s="96">
        <f>Prices!$G$81</f>
        <v>217.73584905660377</v>
      </c>
      <c r="F944">
        <v>106.48</v>
      </c>
      <c r="G944" t="s">
        <v>1915</v>
      </c>
      <c r="H944" t="s">
        <v>12</v>
      </c>
      <c r="I944" t="s">
        <v>1914</v>
      </c>
      <c r="J944" t="s">
        <v>1610</v>
      </c>
      <c r="K944" t="s">
        <v>1916</v>
      </c>
    </row>
    <row r="945" spans="1:11">
      <c r="A945" t="s">
        <v>76</v>
      </c>
      <c r="B945" t="s">
        <v>1949</v>
      </c>
      <c r="C945" t="s">
        <v>1950</v>
      </c>
      <c r="D945" s="96">
        <f>Prices!$G$81</f>
        <v>217.73584905660377</v>
      </c>
      <c r="F945">
        <v>187.95</v>
      </c>
      <c r="G945" t="s">
        <v>1951</v>
      </c>
      <c r="H945" t="s">
        <v>12</v>
      </c>
      <c r="I945" t="s">
        <v>1950</v>
      </c>
      <c r="J945" t="s">
        <v>1610</v>
      </c>
      <c r="K945" t="s">
        <v>1952</v>
      </c>
    </row>
    <row r="946" spans="1:11">
      <c r="A946" t="s">
        <v>76</v>
      </c>
      <c r="B946" t="s">
        <v>3199</v>
      </c>
      <c r="C946" t="s">
        <v>3200</v>
      </c>
      <c r="D946" s="96">
        <f>Prices!$G$81</f>
        <v>217.73584905660377</v>
      </c>
      <c r="F946">
        <v>0</v>
      </c>
      <c r="G946" t="s">
        <v>3201</v>
      </c>
      <c r="I946" t="s">
        <v>3200</v>
      </c>
      <c r="J946" t="s">
        <v>1610</v>
      </c>
      <c r="K946" t="s">
        <v>3202</v>
      </c>
    </row>
    <row r="947" spans="1:11">
      <c r="A947" t="s">
        <v>76</v>
      </c>
      <c r="B947" t="s">
        <v>1929</v>
      </c>
      <c r="C947" t="s">
        <v>1930</v>
      </c>
      <c r="D947" s="96">
        <f>Prices!$G$81</f>
        <v>217.73584905660377</v>
      </c>
      <c r="F947">
        <v>24.97</v>
      </c>
      <c r="G947" t="s">
        <v>1931</v>
      </c>
      <c r="H947" t="s">
        <v>12</v>
      </c>
      <c r="I947" t="s">
        <v>1930</v>
      </c>
      <c r="J947" t="s">
        <v>1610</v>
      </c>
      <c r="K947" t="s">
        <v>1932</v>
      </c>
    </row>
    <row r="948" spans="1:11">
      <c r="A948" t="s">
        <v>76</v>
      </c>
      <c r="B948" t="s">
        <v>1925</v>
      </c>
      <c r="C948" t="s">
        <v>1926</v>
      </c>
      <c r="D948" s="96">
        <f>Prices!$G$81</f>
        <v>217.73584905660377</v>
      </c>
      <c r="F948">
        <v>2.2799999999999998</v>
      </c>
      <c r="G948" t="s">
        <v>1927</v>
      </c>
      <c r="H948" t="s">
        <v>12</v>
      </c>
      <c r="I948" t="s">
        <v>1926</v>
      </c>
      <c r="J948" t="s">
        <v>1610</v>
      </c>
      <c r="K948" t="s">
        <v>1928</v>
      </c>
    </row>
    <row r="949" spans="1:11">
      <c r="A949" t="s">
        <v>76</v>
      </c>
      <c r="B949" t="s">
        <v>3774</v>
      </c>
      <c r="C949" t="s">
        <v>3775</v>
      </c>
      <c r="D949" s="96">
        <f>Prices!$G$81</f>
        <v>217.73584905660377</v>
      </c>
      <c r="F949">
        <v>24.47</v>
      </c>
      <c r="G949" t="s">
        <v>3776</v>
      </c>
      <c r="H949" t="s">
        <v>12</v>
      </c>
      <c r="I949" t="s">
        <v>3775</v>
      </c>
      <c r="J949" t="s">
        <v>1610</v>
      </c>
      <c r="K949" t="s">
        <v>3777</v>
      </c>
    </row>
    <row r="950" spans="1:11">
      <c r="A950" t="s">
        <v>76</v>
      </c>
      <c r="B950" t="s">
        <v>1937</v>
      </c>
      <c r="C950" t="s">
        <v>1938</v>
      </c>
      <c r="D950" s="96">
        <f>Prices!$G$81</f>
        <v>217.73584905660377</v>
      </c>
      <c r="F950">
        <v>23.41</v>
      </c>
      <c r="G950" t="s">
        <v>1939</v>
      </c>
      <c r="H950" t="s">
        <v>12</v>
      </c>
      <c r="I950" t="s">
        <v>1938</v>
      </c>
      <c r="J950" t="s">
        <v>1610</v>
      </c>
      <c r="K950" t="s">
        <v>1940</v>
      </c>
    </row>
    <row r="951" spans="1:11">
      <c r="A951" t="s">
        <v>76</v>
      </c>
      <c r="B951" t="s">
        <v>1933</v>
      </c>
      <c r="C951" t="s">
        <v>1934</v>
      </c>
      <c r="D951" s="96">
        <f>Prices!$G$81</f>
        <v>217.73584905660377</v>
      </c>
      <c r="F951">
        <v>44.52</v>
      </c>
      <c r="G951" t="s">
        <v>1935</v>
      </c>
      <c r="H951" t="s">
        <v>12</v>
      </c>
      <c r="I951" t="s">
        <v>1934</v>
      </c>
      <c r="J951" t="s">
        <v>1610</v>
      </c>
      <c r="K951" t="s">
        <v>1936</v>
      </c>
    </row>
    <row r="952" spans="1:11">
      <c r="A952" t="s">
        <v>76</v>
      </c>
      <c r="B952" t="s">
        <v>2991</v>
      </c>
      <c r="C952" t="s">
        <v>2992</v>
      </c>
      <c r="D952" s="96">
        <f>Prices!$G$81</f>
        <v>217.73584905660377</v>
      </c>
      <c r="F952">
        <v>0</v>
      </c>
      <c r="G952" t="s">
        <v>2993</v>
      </c>
      <c r="I952" t="s">
        <v>2992</v>
      </c>
      <c r="J952" t="s">
        <v>1610</v>
      </c>
      <c r="K952" t="s">
        <v>2994</v>
      </c>
    </row>
    <row r="953" spans="1:11">
      <c r="A953" t="s">
        <v>76</v>
      </c>
      <c r="B953" t="s">
        <v>3008</v>
      </c>
      <c r="C953" t="s">
        <v>3009</v>
      </c>
      <c r="D953" s="96">
        <f>Prices!$G$81</f>
        <v>217.73584905660377</v>
      </c>
      <c r="F953">
        <v>0</v>
      </c>
      <c r="G953" t="s">
        <v>3010</v>
      </c>
      <c r="I953" t="s">
        <v>3009</v>
      </c>
      <c r="J953" t="s">
        <v>1610</v>
      </c>
      <c r="K953" t="s">
        <v>3011</v>
      </c>
    </row>
    <row r="954" spans="1:11">
      <c r="A954" t="s">
        <v>76</v>
      </c>
      <c r="B954" t="s">
        <v>212</v>
      </c>
      <c r="C954" t="s">
        <v>213</v>
      </c>
      <c r="D954" s="96">
        <f>Prices!$G$81</f>
        <v>217.73584905660377</v>
      </c>
      <c r="F954">
        <v>0</v>
      </c>
      <c r="G954" t="s">
        <v>214</v>
      </c>
      <c r="I954" t="s">
        <v>213</v>
      </c>
      <c r="J954" t="s">
        <v>13</v>
      </c>
      <c r="K954" t="s">
        <v>215</v>
      </c>
    </row>
    <row r="955" spans="1:11">
      <c r="A955" t="s">
        <v>76</v>
      </c>
      <c r="B955" t="s">
        <v>2599</v>
      </c>
      <c r="C955" t="s">
        <v>2600</v>
      </c>
      <c r="D955" s="96">
        <f>Prices!$G$81</f>
        <v>217.73584905660377</v>
      </c>
      <c r="F955">
        <v>9.0399999999999991</v>
      </c>
      <c r="G955" t="s">
        <v>2601</v>
      </c>
      <c r="H955" t="s">
        <v>12</v>
      </c>
      <c r="I955" t="s">
        <v>2600</v>
      </c>
      <c r="J955" t="s">
        <v>1610</v>
      </c>
      <c r="K955" t="s">
        <v>2602</v>
      </c>
    </row>
    <row r="956" spans="1:11">
      <c r="A956" t="s">
        <v>76</v>
      </c>
      <c r="B956" t="s">
        <v>1945</v>
      </c>
      <c r="C956" t="s">
        <v>1946</v>
      </c>
      <c r="D956" s="96">
        <f>Prices!$G$81</f>
        <v>217.73584905660377</v>
      </c>
      <c r="F956">
        <v>0.65</v>
      </c>
      <c r="G956" t="s">
        <v>1947</v>
      </c>
      <c r="H956" t="s">
        <v>12</v>
      </c>
      <c r="I956" t="s">
        <v>1946</v>
      </c>
      <c r="J956" t="s">
        <v>1610</v>
      </c>
      <c r="K956" t="s">
        <v>1948</v>
      </c>
    </row>
    <row r="957" spans="1:11">
      <c r="A957" t="s">
        <v>76</v>
      </c>
      <c r="B957" t="s">
        <v>1941</v>
      </c>
      <c r="C957" t="s">
        <v>1942</v>
      </c>
      <c r="D957" s="96">
        <f>Prices!$G$81</f>
        <v>217.73584905660377</v>
      </c>
      <c r="F957">
        <v>226.86</v>
      </c>
      <c r="G957" t="s">
        <v>1943</v>
      </c>
      <c r="H957" t="s">
        <v>12</v>
      </c>
      <c r="I957" t="s">
        <v>1942</v>
      </c>
      <c r="J957" t="s">
        <v>1610</v>
      </c>
      <c r="K957" t="s">
        <v>1944</v>
      </c>
    </row>
    <row r="958" spans="1:11">
      <c r="A958" t="s">
        <v>76</v>
      </c>
      <c r="B958" t="s">
        <v>3961</v>
      </c>
      <c r="C958" t="s">
        <v>3962</v>
      </c>
      <c r="D958" s="96">
        <f>Prices!$G$81</f>
        <v>217.73584905660377</v>
      </c>
      <c r="F958">
        <v>53.38</v>
      </c>
      <c r="G958" t="s">
        <v>3963</v>
      </c>
      <c r="H958" t="s">
        <v>12</v>
      </c>
      <c r="I958" t="s">
        <v>3962</v>
      </c>
      <c r="J958" t="s">
        <v>1610</v>
      </c>
      <c r="K958" t="s">
        <v>3964</v>
      </c>
    </row>
    <row r="959" spans="1:11">
      <c r="A959" t="s">
        <v>76</v>
      </c>
      <c r="B959" t="s">
        <v>4239</v>
      </c>
      <c r="C959" t="s">
        <v>4240</v>
      </c>
      <c r="D959" s="96">
        <f>Prices!$G$81</f>
        <v>217.73584905660377</v>
      </c>
      <c r="F959">
        <v>68.86</v>
      </c>
      <c r="G959" t="s">
        <v>4241</v>
      </c>
      <c r="H959" t="s">
        <v>12</v>
      </c>
      <c r="I959" t="s">
        <v>4240</v>
      </c>
      <c r="J959" t="s">
        <v>1610</v>
      </c>
      <c r="K959" t="s">
        <v>4242</v>
      </c>
    </row>
    <row r="960" spans="1:11">
      <c r="A960" t="s">
        <v>76</v>
      </c>
      <c r="B960" t="s">
        <v>3679</v>
      </c>
      <c r="C960" t="s">
        <v>3680</v>
      </c>
      <c r="D960" s="96">
        <f>Prices!$G$81</f>
        <v>217.73584905660377</v>
      </c>
      <c r="F960">
        <v>45.72</v>
      </c>
      <c r="G960" t="s">
        <v>3681</v>
      </c>
      <c r="H960" t="s">
        <v>12</v>
      </c>
      <c r="I960" t="s">
        <v>3680</v>
      </c>
      <c r="J960" t="s">
        <v>1610</v>
      </c>
      <c r="K960" t="s">
        <v>3682</v>
      </c>
    </row>
    <row r="961" spans="1:11">
      <c r="A961" t="s">
        <v>76</v>
      </c>
      <c r="B961" t="s">
        <v>3705</v>
      </c>
      <c r="C961" t="s">
        <v>3706</v>
      </c>
      <c r="D961" s="96">
        <f>Prices!$G$81</f>
        <v>217.73584905660377</v>
      </c>
      <c r="F961">
        <v>3.93</v>
      </c>
      <c r="G961" t="s">
        <v>3707</v>
      </c>
      <c r="H961" t="s">
        <v>12</v>
      </c>
      <c r="I961" t="s">
        <v>3706</v>
      </c>
      <c r="J961" t="s">
        <v>1610</v>
      </c>
      <c r="K961" t="s">
        <v>3708</v>
      </c>
    </row>
    <row r="962" spans="1:11">
      <c r="A962" t="s">
        <v>76</v>
      </c>
      <c r="B962" t="s">
        <v>3902</v>
      </c>
      <c r="C962" t="s">
        <v>3903</v>
      </c>
      <c r="D962" s="96">
        <f>Prices!$G$81</f>
        <v>217.73584905660377</v>
      </c>
      <c r="F962">
        <v>101.66</v>
      </c>
      <c r="G962" t="s">
        <v>3904</v>
      </c>
      <c r="H962" t="s">
        <v>12</v>
      </c>
      <c r="I962" t="s">
        <v>3903</v>
      </c>
      <c r="J962" t="s">
        <v>1610</v>
      </c>
      <c r="K962" t="s">
        <v>3905</v>
      </c>
    </row>
    <row r="963" spans="1:11">
      <c r="A963" t="s">
        <v>76</v>
      </c>
      <c r="B963" t="s">
        <v>4187</v>
      </c>
      <c r="C963" t="s">
        <v>4188</v>
      </c>
      <c r="D963" s="96">
        <f>Prices!$G$81</f>
        <v>217.73584905660377</v>
      </c>
      <c r="F963">
        <v>4.18</v>
      </c>
      <c r="G963" t="s">
        <v>4189</v>
      </c>
      <c r="H963" t="s">
        <v>12</v>
      </c>
      <c r="I963" t="s">
        <v>4188</v>
      </c>
      <c r="J963" t="s">
        <v>1610</v>
      </c>
      <c r="K963" t="s">
        <v>2819</v>
      </c>
    </row>
    <row r="964" spans="1:11">
      <c r="A964" t="s">
        <v>76</v>
      </c>
      <c r="B964" t="s">
        <v>2816</v>
      </c>
      <c r="C964" t="s">
        <v>2817</v>
      </c>
      <c r="D964" s="96">
        <f>Prices!$G$81</f>
        <v>217.73584905660377</v>
      </c>
      <c r="F964">
        <v>22.07</v>
      </c>
      <c r="G964" t="s">
        <v>2818</v>
      </c>
      <c r="H964" t="s">
        <v>12</v>
      </c>
      <c r="I964" t="s">
        <v>2817</v>
      </c>
      <c r="J964" t="s">
        <v>1610</v>
      </c>
      <c r="K964" t="s">
        <v>2819</v>
      </c>
    </row>
    <row r="965" spans="1:11">
      <c r="A965" t="s">
        <v>76</v>
      </c>
      <c r="B965" t="s">
        <v>4261</v>
      </c>
      <c r="C965" t="s">
        <v>4262</v>
      </c>
      <c r="D965" s="96">
        <f>Prices!$G$81</f>
        <v>217.73584905660377</v>
      </c>
      <c r="F965">
        <v>258.70999999999998</v>
      </c>
      <c r="G965" t="s">
        <v>4263</v>
      </c>
      <c r="H965" t="s">
        <v>12</v>
      </c>
      <c r="I965" t="s">
        <v>4262</v>
      </c>
      <c r="J965" t="s">
        <v>1610</v>
      </c>
      <c r="K965" t="s">
        <v>4264</v>
      </c>
    </row>
    <row r="966" spans="1:11">
      <c r="A966" t="s">
        <v>76</v>
      </c>
      <c r="B966" t="s">
        <v>3622</v>
      </c>
      <c r="C966" t="s">
        <v>3378</v>
      </c>
      <c r="D966" s="96">
        <f>Prices!$G$81</f>
        <v>217.73584905660377</v>
      </c>
      <c r="F966">
        <v>27.97</v>
      </c>
      <c r="G966" t="s">
        <v>3379</v>
      </c>
      <c r="H966" t="s">
        <v>12</v>
      </c>
      <c r="I966" t="s">
        <v>3378</v>
      </c>
      <c r="J966" t="s">
        <v>1610</v>
      </c>
      <c r="K966" t="s">
        <v>3380</v>
      </c>
    </row>
    <row r="967" spans="1:11">
      <c r="A967" t="s">
        <v>76</v>
      </c>
      <c r="B967" t="s">
        <v>3935</v>
      </c>
      <c r="C967" t="s">
        <v>3936</v>
      </c>
      <c r="D967" s="96">
        <f>Prices!$G$81</f>
        <v>217.73584905660377</v>
      </c>
      <c r="F967">
        <v>19.54</v>
      </c>
      <c r="G967" t="s">
        <v>3937</v>
      </c>
      <c r="H967" t="s">
        <v>12</v>
      </c>
      <c r="I967" t="s">
        <v>3936</v>
      </c>
      <c r="J967" t="s">
        <v>1610</v>
      </c>
      <c r="K967" t="s">
        <v>3938</v>
      </c>
    </row>
    <row r="968" spans="1:11">
      <c r="A968" t="s">
        <v>447</v>
      </c>
      <c r="B968" t="s">
        <v>3033</v>
      </c>
      <c r="C968" t="s">
        <v>3034</v>
      </c>
      <c r="D968" s="96">
        <f>Prices!$G$81</f>
        <v>217.73584905660377</v>
      </c>
      <c r="F968">
        <v>0</v>
      </c>
      <c r="G968" t="s">
        <v>3035</v>
      </c>
      <c r="I968" t="s">
        <v>3034</v>
      </c>
      <c r="J968" t="s">
        <v>1610</v>
      </c>
      <c r="K968" t="s">
        <v>3036</v>
      </c>
    </row>
    <row r="969" spans="1:11">
      <c r="A969" t="s">
        <v>76</v>
      </c>
      <c r="B969" t="s">
        <v>3654</v>
      </c>
      <c r="C969" t="s">
        <v>3655</v>
      </c>
      <c r="D969" s="96">
        <f>Prices!$G$81</f>
        <v>217.73584905660377</v>
      </c>
      <c r="F969">
        <v>16.170000000000002</v>
      </c>
      <c r="G969" t="s">
        <v>3656</v>
      </c>
      <c r="H969" t="s">
        <v>12</v>
      </c>
      <c r="I969" t="s">
        <v>3655</v>
      </c>
      <c r="J969" t="s">
        <v>1610</v>
      </c>
      <c r="K969" t="s">
        <v>3657</v>
      </c>
    </row>
    <row r="970" spans="1:11">
      <c r="A970" t="s">
        <v>76</v>
      </c>
      <c r="B970" t="s">
        <v>2006</v>
      </c>
      <c r="C970" t="s">
        <v>2007</v>
      </c>
      <c r="D970" s="95">
        <f>Prices!$J$33</f>
        <v>231.9597989949749</v>
      </c>
      <c r="F970">
        <v>159.83000000000001</v>
      </c>
      <c r="G970" t="s">
        <v>2008</v>
      </c>
      <c r="H970" t="s">
        <v>12</v>
      </c>
      <c r="I970" t="s">
        <v>2007</v>
      </c>
      <c r="J970" t="s">
        <v>1610</v>
      </c>
      <c r="K970" t="s">
        <v>2009</v>
      </c>
    </row>
    <row r="971" spans="1:11">
      <c r="A971" t="s">
        <v>76</v>
      </c>
      <c r="B971" t="s">
        <v>2226</v>
      </c>
      <c r="C971" t="s">
        <v>2227</v>
      </c>
      <c r="D971" s="95">
        <f>Prices!$J$33</f>
        <v>231.9597989949749</v>
      </c>
      <c r="F971">
        <v>0.96</v>
      </c>
      <c r="G971" t="s">
        <v>2228</v>
      </c>
      <c r="H971" t="s">
        <v>12</v>
      </c>
      <c r="I971" t="s">
        <v>2227</v>
      </c>
      <c r="J971" t="s">
        <v>1610</v>
      </c>
      <c r="K971" t="s">
        <v>2229</v>
      </c>
    </row>
    <row r="972" spans="1:11">
      <c r="A972" t="s">
        <v>76</v>
      </c>
      <c r="B972" t="s">
        <v>4886</v>
      </c>
      <c r="C972" t="s">
        <v>4887</v>
      </c>
      <c r="D972" s="95">
        <f>Prices!$J$33</f>
        <v>231.9597989949749</v>
      </c>
      <c r="F972">
        <v>234.65</v>
      </c>
      <c r="G972" t="s">
        <v>4888</v>
      </c>
      <c r="H972" t="s">
        <v>12</v>
      </c>
      <c r="I972" t="s">
        <v>4887</v>
      </c>
      <c r="J972" t="s">
        <v>1610</v>
      </c>
      <c r="K972" t="s">
        <v>4889</v>
      </c>
    </row>
    <row r="973" spans="1:11">
      <c r="A973" t="s">
        <v>76</v>
      </c>
      <c r="B973" t="s">
        <v>341</v>
      </c>
      <c r="C973" t="s">
        <v>342</v>
      </c>
      <c r="D973" s="95">
        <f>Prices!$J$33</f>
        <v>231.9597989949749</v>
      </c>
      <c r="F973">
        <v>41.59</v>
      </c>
      <c r="G973" t="s">
        <v>343</v>
      </c>
      <c r="H973" t="s">
        <v>12</v>
      </c>
      <c r="I973" t="s">
        <v>342</v>
      </c>
      <c r="J973" t="s">
        <v>13</v>
      </c>
      <c r="K973" t="s">
        <v>344</v>
      </c>
    </row>
    <row r="974" spans="1:11">
      <c r="A974" t="s">
        <v>76</v>
      </c>
      <c r="B974" t="s">
        <v>3322</v>
      </c>
      <c r="C974" t="s">
        <v>3323</v>
      </c>
      <c r="D974" s="95">
        <f>Prices!$J$33</f>
        <v>231.9597989949749</v>
      </c>
      <c r="F974">
        <v>0</v>
      </c>
      <c r="G974" t="s">
        <v>3324</v>
      </c>
      <c r="I974" t="s">
        <v>3323</v>
      </c>
      <c r="J974" t="s">
        <v>1610</v>
      </c>
      <c r="K974" t="s">
        <v>3325</v>
      </c>
    </row>
    <row r="975" spans="1:11">
      <c r="A975" t="s">
        <v>76</v>
      </c>
      <c r="B975" t="s">
        <v>4890</v>
      </c>
      <c r="C975" t="s">
        <v>4891</v>
      </c>
      <c r="D975" s="95">
        <f>Prices!$J$33</f>
        <v>231.9597989949749</v>
      </c>
      <c r="F975">
        <v>76.13</v>
      </c>
      <c r="G975" t="s">
        <v>4892</v>
      </c>
      <c r="H975" t="s">
        <v>12</v>
      </c>
      <c r="I975" t="s">
        <v>4891</v>
      </c>
      <c r="J975" t="s">
        <v>1610</v>
      </c>
      <c r="K975" t="s">
        <v>4893</v>
      </c>
    </row>
    <row r="976" spans="1:11">
      <c r="A976" t="s">
        <v>76</v>
      </c>
      <c r="B976" t="s">
        <v>671</v>
      </c>
      <c r="C976" t="s">
        <v>345</v>
      </c>
      <c r="D976" s="95">
        <f>Prices!$J$33</f>
        <v>231.9597989949749</v>
      </c>
      <c r="F976">
        <v>0</v>
      </c>
      <c r="G976" t="s">
        <v>346</v>
      </c>
      <c r="I976" t="s">
        <v>345</v>
      </c>
      <c r="J976" t="s">
        <v>13</v>
      </c>
      <c r="K976" t="s">
        <v>347</v>
      </c>
    </row>
    <row r="977" spans="1:11">
      <c r="A977" t="s">
        <v>76</v>
      </c>
      <c r="B977" t="s">
        <v>3423</v>
      </c>
      <c r="C977" t="s">
        <v>3424</v>
      </c>
      <c r="D977" s="95">
        <f>Prices!$J$33</f>
        <v>231.9597989949749</v>
      </c>
      <c r="F977">
        <v>0</v>
      </c>
      <c r="G977" t="s">
        <v>3425</v>
      </c>
      <c r="I977" t="s">
        <v>3424</v>
      </c>
      <c r="J977" t="s">
        <v>1610</v>
      </c>
      <c r="K977" t="s">
        <v>3426</v>
      </c>
    </row>
    <row r="978" spans="1:11">
      <c r="A978" t="s">
        <v>76</v>
      </c>
      <c r="B978" t="s">
        <v>2010</v>
      </c>
      <c r="C978" t="s">
        <v>2011</v>
      </c>
      <c r="D978" s="95">
        <f>Prices!$J$33</f>
        <v>231.9597989949749</v>
      </c>
      <c r="F978">
        <v>159.32</v>
      </c>
      <c r="G978" t="s">
        <v>2012</v>
      </c>
      <c r="H978" t="s">
        <v>12</v>
      </c>
      <c r="I978" t="s">
        <v>2011</v>
      </c>
      <c r="J978" t="s">
        <v>1610</v>
      </c>
      <c r="K978" t="s">
        <v>2013</v>
      </c>
    </row>
    <row r="979" spans="1:11">
      <c r="A979" t="s">
        <v>76</v>
      </c>
      <c r="B979" t="s">
        <v>405</v>
      </c>
      <c r="C979" t="s">
        <v>406</v>
      </c>
      <c r="D979" s="95">
        <f>Prices!$J$33</f>
        <v>231.9597989949749</v>
      </c>
      <c r="F979">
        <v>149.56</v>
      </c>
      <c r="G979" t="s">
        <v>407</v>
      </c>
      <c r="H979" t="s">
        <v>12</v>
      </c>
      <c r="I979" t="s">
        <v>406</v>
      </c>
      <c r="J979" t="s">
        <v>13</v>
      </c>
      <c r="K979" t="s">
        <v>408</v>
      </c>
    </row>
    <row r="980" spans="1:11">
      <c r="A980" t="s">
        <v>76</v>
      </c>
      <c r="B980" t="s">
        <v>2275</v>
      </c>
      <c r="C980" t="s">
        <v>2276</v>
      </c>
      <c r="D980" s="95">
        <f>Prices!$J$33</f>
        <v>231.9597989949749</v>
      </c>
      <c r="F980">
        <v>107.46</v>
      </c>
      <c r="G980" t="s">
        <v>2277</v>
      </c>
      <c r="H980" t="s">
        <v>12</v>
      </c>
      <c r="I980" t="s">
        <v>2276</v>
      </c>
      <c r="J980" t="s">
        <v>1610</v>
      </c>
      <c r="K980" t="s">
        <v>2278</v>
      </c>
    </row>
    <row r="981" spans="1:11">
      <c r="A981" t="s">
        <v>76</v>
      </c>
      <c r="B981" t="s">
        <v>243</v>
      </c>
      <c r="C981" t="s">
        <v>244</v>
      </c>
      <c r="D981" s="95">
        <f>Prices!$J$33</f>
        <v>231.9597989949749</v>
      </c>
      <c r="F981">
        <v>2.1</v>
      </c>
      <c r="G981" t="s">
        <v>245</v>
      </c>
      <c r="H981" t="s">
        <v>12</v>
      </c>
      <c r="I981" t="s">
        <v>244</v>
      </c>
      <c r="J981" t="s">
        <v>13</v>
      </c>
      <c r="K981" t="s">
        <v>246</v>
      </c>
    </row>
    <row r="982" spans="1:11">
      <c r="A982" t="s">
        <v>76</v>
      </c>
      <c r="B982" t="s">
        <v>4894</v>
      </c>
      <c r="C982" t="s">
        <v>4895</v>
      </c>
      <c r="D982" s="95">
        <f>Prices!$J$33</f>
        <v>231.9597989949749</v>
      </c>
      <c r="F982">
        <v>125.69</v>
      </c>
      <c r="G982" t="s">
        <v>4896</v>
      </c>
      <c r="H982" t="s">
        <v>12</v>
      </c>
      <c r="I982" t="s">
        <v>4895</v>
      </c>
      <c r="J982" t="s">
        <v>1610</v>
      </c>
      <c r="K982" t="s">
        <v>4897</v>
      </c>
    </row>
    <row r="983" spans="1:11">
      <c r="A983" t="s">
        <v>76</v>
      </c>
      <c r="B983" t="s">
        <v>359</v>
      </c>
      <c r="C983" t="s">
        <v>360</v>
      </c>
      <c r="D983" s="95">
        <f>Prices!$J$33</f>
        <v>231.9597989949749</v>
      </c>
      <c r="F983">
        <v>242.1</v>
      </c>
      <c r="G983" t="s">
        <v>911</v>
      </c>
      <c r="H983" t="s">
        <v>12</v>
      </c>
      <c r="I983" t="s">
        <v>360</v>
      </c>
      <c r="J983" t="s">
        <v>13</v>
      </c>
      <c r="K983" t="s">
        <v>361</v>
      </c>
    </row>
    <row r="984" spans="1:11">
      <c r="A984" t="s">
        <v>76</v>
      </c>
      <c r="B984" t="s">
        <v>2648</v>
      </c>
      <c r="C984" t="s">
        <v>2649</v>
      </c>
      <c r="D984" s="95">
        <f>Prices!$J$33</f>
        <v>231.9597989949749</v>
      </c>
      <c r="F984">
        <v>10.42</v>
      </c>
      <c r="G984" t="s">
        <v>3543</v>
      </c>
      <c r="H984" t="s">
        <v>12</v>
      </c>
      <c r="I984" t="s">
        <v>2649</v>
      </c>
      <c r="J984" t="s">
        <v>1610</v>
      </c>
    </row>
    <row r="985" spans="1:11">
      <c r="A985" t="s">
        <v>76</v>
      </c>
      <c r="B985" t="s">
        <v>2111</v>
      </c>
      <c r="C985" t="s">
        <v>2112</v>
      </c>
      <c r="D985" s="95">
        <f>Prices!$J$33</f>
        <v>231.9597989949749</v>
      </c>
      <c r="F985">
        <v>107.12</v>
      </c>
      <c r="G985" t="s">
        <v>2113</v>
      </c>
      <c r="H985" t="s">
        <v>12</v>
      </c>
      <c r="I985" t="s">
        <v>2112</v>
      </c>
      <c r="J985" t="s">
        <v>1610</v>
      </c>
      <c r="K985" t="s">
        <v>2114</v>
      </c>
    </row>
    <row r="986" spans="1:11">
      <c r="A986" t="s">
        <v>10</v>
      </c>
      <c r="B986" t="s">
        <v>3509</v>
      </c>
      <c r="C986" t="s">
        <v>2396</v>
      </c>
      <c r="D986" s="95">
        <f>Prices!$J$33</f>
        <v>231.9597989949749</v>
      </c>
      <c r="F986">
        <v>9.76</v>
      </c>
      <c r="G986" t="s">
        <v>3510</v>
      </c>
      <c r="H986" t="s">
        <v>12</v>
      </c>
      <c r="I986" t="s">
        <v>2396</v>
      </c>
      <c r="J986" t="s">
        <v>1610</v>
      </c>
      <c r="K986" t="s">
        <v>2423</v>
      </c>
    </row>
    <row r="987" spans="1:11">
      <c r="A987" t="s">
        <v>76</v>
      </c>
      <c r="B987" t="s">
        <v>3390</v>
      </c>
      <c r="C987" t="s">
        <v>2421</v>
      </c>
      <c r="D987" s="95">
        <f>Prices!$J$33</f>
        <v>231.9597989949749</v>
      </c>
      <c r="F987">
        <v>0</v>
      </c>
      <c r="G987" t="s">
        <v>2422</v>
      </c>
      <c r="I987" t="s">
        <v>2421</v>
      </c>
      <c r="J987" t="s">
        <v>1610</v>
      </c>
      <c r="K987" t="s">
        <v>2423</v>
      </c>
    </row>
    <row r="988" spans="1:11">
      <c r="A988" t="s">
        <v>76</v>
      </c>
      <c r="B988" t="s">
        <v>116</v>
      </c>
      <c r="C988" t="s">
        <v>117</v>
      </c>
      <c r="D988" s="95">
        <f>Prices!$J$33</f>
        <v>231.9597989949749</v>
      </c>
      <c r="F988">
        <v>0</v>
      </c>
      <c r="G988" t="s">
        <v>118</v>
      </c>
      <c r="I988" t="s">
        <v>117</v>
      </c>
      <c r="J988" t="s">
        <v>13</v>
      </c>
      <c r="K988" t="s">
        <v>119</v>
      </c>
    </row>
    <row r="989" spans="1:11">
      <c r="A989" t="s">
        <v>10</v>
      </c>
      <c r="B989" t="s">
        <v>2603</v>
      </c>
      <c r="C989" t="s">
        <v>2604</v>
      </c>
      <c r="D989" s="95">
        <f>Prices!$J$33</f>
        <v>231.9597989949749</v>
      </c>
      <c r="F989">
        <v>25.35</v>
      </c>
      <c r="G989" t="s">
        <v>2605</v>
      </c>
      <c r="H989" t="s">
        <v>12</v>
      </c>
      <c r="I989" t="s">
        <v>2604</v>
      </c>
      <c r="J989" t="s">
        <v>1610</v>
      </c>
      <c r="K989" t="s">
        <v>2606</v>
      </c>
    </row>
    <row r="990" spans="1:11">
      <c r="A990" t="s">
        <v>76</v>
      </c>
      <c r="B990" t="s">
        <v>4898</v>
      </c>
      <c r="C990" t="s">
        <v>4899</v>
      </c>
      <c r="D990" s="95">
        <f>Prices!$J$33</f>
        <v>231.9597989949749</v>
      </c>
      <c r="F990">
        <v>217.02</v>
      </c>
      <c r="G990" t="s">
        <v>4900</v>
      </c>
      <c r="H990" t="s">
        <v>12</v>
      </c>
      <c r="I990" t="s">
        <v>4899</v>
      </c>
      <c r="J990" t="s">
        <v>1610</v>
      </c>
      <c r="K990" t="s">
        <v>4901</v>
      </c>
    </row>
    <row r="991" spans="1:11">
      <c r="A991" t="s">
        <v>10</v>
      </c>
      <c r="B991" t="s">
        <v>2610</v>
      </c>
      <c r="C991" t="s">
        <v>2611</v>
      </c>
      <c r="D991" s="95">
        <f>Prices!$J$33</f>
        <v>231.9597989949749</v>
      </c>
      <c r="F991">
        <v>9.2200000000000006</v>
      </c>
      <c r="G991" t="s">
        <v>2612</v>
      </c>
      <c r="H991" t="s">
        <v>12</v>
      </c>
      <c r="I991" t="s">
        <v>2611</v>
      </c>
      <c r="J991" t="s">
        <v>1610</v>
      </c>
      <c r="K991" t="s">
        <v>2613</v>
      </c>
    </row>
    <row r="992" spans="1:11">
      <c r="A992" t="s">
        <v>76</v>
      </c>
      <c r="B992" t="s">
        <v>4902</v>
      </c>
      <c r="C992" t="s">
        <v>4903</v>
      </c>
      <c r="D992" s="95">
        <f>Prices!$J$33</f>
        <v>231.9597989949749</v>
      </c>
      <c r="F992">
        <v>115.42</v>
      </c>
      <c r="G992" t="s">
        <v>4904</v>
      </c>
      <c r="H992" t="s">
        <v>12</v>
      </c>
      <c r="I992" t="s">
        <v>4903</v>
      </c>
      <c r="J992" t="s">
        <v>1610</v>
      </c>
      <c r="K992" t="s">
        <v>2613</v>
      </c>
    </row>
    <row r="993" spans="1:11">
      <c r="A993" t="s">
        <v>10</v>
      </c>
      <c r="B993" t="s">
        <v>623</v>
      </c>
      <c r="C993" t="s">
        <v>624</v>
      </c>
      <c r="D993" s="95">
        <f>Prices!$J$33</f>
        <v>231.9597989949749</v>
      </c>
      <c r="F993">
        <v>0.15</v>
      </c>
      <c r="G993" t="s">
        <v>625</v>
      </c>
      <c r="H993" t="s">
        <v>12</v>
      </c>
      <c r="I993" t="s">
        <v>624</v>
      </c>
      <c r="J993" t="s">
        <v>13</v>
      </c>
      <c r="K993" t="s">
        <v>626</v>
      </c>
    </row>
    <row r="994" spans="1:11">
      <c r="A994" t="s">
        <v>76</v>
      </c>
      <c r="B994" t="s">
        <v>2130</v>
      </c>
      <c r="C994" t="s">
        <v>2131</v>
      </c>
      <c r="D994" s="95">
        <f>Prices!$J$33</f>
        <v>231.9597989949749</v>
      </c>
      <c r="F994">
        <v>79</v>
      </c>
      <c r="G994" t="s">
        <v>2132</v>
      </c>
      <c r="H994" t="s">
        <v>12</v>
      </c>
      <c r="I994" t="s">
        <v>2131</v>
      </c>
      <c r="J994" t="s">
        <v>1610</v>
      </c>
      <c r="K994" t="s">
        <v>2133</v>
      </c>
    </row>
    <row r="995" spans="1:11">
      <c r="A995" t="s">
        <v>10</v>
      </c>
      <c r="B995" t="s">
        <v>760</v>
      </c>
      <c r="C995" t="s">
        <v>761</v>
      </c>
      <c r="D995" s="95">
        <f>Prices!$J$33</f>
        <v>231.9597989949749</v>
      </c>
      <c r="F995">
        <v>0</v>
      </c>
      <c r="G995" t="s">
        <v>762</v>
      </c>
      <c r="I995" t="s">
        <v>761</v>
      </c>
      <c r="J995" t="s">
        <v>13</v>
      </c>
      <c r="K995" t="s">
        <v>763</v>
      </c>
    </row>
    <row r="996" spans="1:11">
      <c r="A996" t="s">
        <v>76</v>
      </c>
      <c r="B996" t="s">
        <v>4874</v>
      </c>
      <c r="C996" t="s">
        <v>4875</v>
      </c>
      <c r="D996" s="95">
        <f>Prices!$J$33</f>
        <v>231.9597989949749</v>
      </c>
      <c r="F996">
        <v>224.85</v>
      </c>
      <c r="G996" t="s">
        <v>4876</v>
      </c>
      <c r="H996" t="s">
        <v>12</v>
      </c>
      <c r="I996" t="s">
        <v>4875</v>
      </c>
      <c r="J996" t="s">
        <v>1610</v>
      </c>
      <c r="K996" t="s">
        <v>4877</v>
      </c>
    </row>
    <row r="997" spans="1:11">
      <c r="A997" t="s">
        <v>76</v>
      </c>
      <c r="B997" t="s">
        <v>262</v>
      </c>
      <c r="C997" t="s">
        <v>263</v>
      </c>
      <c r="D997" s="95">
        <f>Prices!$J$33</f>
        <v>231.9597989949749</v>
      </c>
      <c r="F997">
        <v>66.760000000000005</v>
      </c>
      <c r="G997" t="s">
        <v>264</v>
      </c>
      <c r="H997" t="s">
        <v>12</v>
      </c>
      <c r="I997" t="s">
        <v>263</v>
      </c>
      <c r="J997" t="s">
        <v>13</v>
      </c>
      <c r="K997" t="s">
        <v>265</v>
      </c>
    </row>
    <row r="998" spans="1:11">
      <c r="A998" t="s">
        <v>76</v>
      </c>
      <c r="B998" t="s">
        <v>3016</v>
      </c>
      <c r="C998" t="s">
        <v>3017</v>
      </c>
      <c r="D998" s="95">
        <f>Prices!$J$33</f>
        <v>231.9597989949749</v>
      </c>
      <c r="F998">
        <v>0</v>
      </c>
      <c r="G998" t="s">
        <v>3018</v>
      </c>
      <c r="I998" t="s">
        <v>3017</v>
      </c>
      <c r="J998" t="s">
        <v>1610</v>
      </c>
      <c r="K998" t="s">
        <v>3019</v>
      </c>
    </row>
    <row r="999" spans="1:11">
      <c r="A999" t="s">
        <v>76</v>
      </c>
      <c r="B999" t="s">
        <v>4878</v>
      </c>
      <c r="C999" t="s">
        <v>4879</v>
      </c>
      <c r="D999" s="95">
        <f>Prices!$J$33</f>
        <v>231.9597989949749</v>
      </c>
      <c r="F999">
        <v>11.68</v>
      </c>
      <c r="G999" t="s">
        <v>4880</v>
      </c>
      <c r="H999" t="s">
        <v>12</v>
      </c>
      <c r="I999" t="s">
        <v>4879</v>
      </c>
      <c r="J999" t="s">
        <v>1610</v>
      </c>
      <c r="K999" t="s">
        <v>4881</v>
      </c>
    </row>
    <row r="1000" spans="1:11">
      <c r="A1000" t="s">
        <v>23</v>
      </c>
      <c r="B1000" t="s">
        <v>187</v>
      </c>
      <c r="C1000" t="s">
        <v>188</v>
      </c>
      <c r="D1000" s="95">
        <f>Prices!$J$33</f>
        <v>231.9597989949749</v>
      </c>
      <c r="F1000">
        <v>22.72</v>
      </c>
      <c r="G1000" t="s">
        <v>189</v>
      </c>
      <c r="H1000" t="s">
        <v>12</v>
      </c>
      <c r="I1000" t="s">
        <v>188</v>
      </c>
      <c r="J1000" t="s">
        <v>13</v>
      </c>
      <c r="K1000" t="s">
        <v>190</v>
      </c>
    </row>
    <row r="1001" spans="1:11">
      <c r="A1001" t="s">
        <v>76</v>
      </c>
      <c r="B1001" t="s">
        <v>2345</v>
      </c>
      <c r="C1001" t="s">
        <v>2346</v>
      </c>
      <c r="D1001" s="95">
        <f>Prices!$J$33</f>
        <v>231.9597989949749</v>
      </c>
      <c r="F1001">
        <v>0.81</v>
      </c>
      <c r="G1001" t="s">
        <v>2347</v>
      </c>
      <c r="H1001" t="s">
        <v>12</v>
      </c>
      <c r="I1001" t="s">
        <v>2346</v>
      </c>
      <c r="J1001" t="s">
        <v>1610</v>
      </c>
      <c r="K1001" t="s">
        <v>2348</v>
      </c>
    </row>
    <row r="1002" spans="1:11">
      <c r="A1002" t="s">
        <v>76</v>
      </c>
      <c r="B1002" t="s">
        <v>2002</v>
      </c>
      <c r="C1002" t="s">
        <v>2003</v>
      </c>
      <c r="D1002" s="95">
        <f>Prices!$J$33</f>
        <v>231.9597989949749</v>
      </c>
      <c r="F1002">
        <v>342.79</v>
      </c>
      <c r="G1002" t="s">
        <v>2004</v>
      </c>
      <c r="H1002" t="s">
        <v>12</v>
      </c>
      <c r="I1002" t="s">
        <v>2003</v>
      </c>
      <c r="J1002" t="s">
        <v>1610</v>
      </c>
      <c r="K1002" t="s">
        <v>2005</v>
      </c>
    </row>
    <row r="1003" spans="1:11">
      <c r="A1003" t="s">
        <v>76</v>
      </c>
      <c r="B1003" t="s">
        <v>266</v>
      </c>
      <c r="C1003" t="s">
        <v>267</v>
      </c>
      <c r="D1003" s="95">
        <f>Prices!$J$33</f>
        <v>231.9597989949749</v>
      </c>
      <c r="F1003">
        <v>80.989999999999995</v>
      </c>
      <c r="G1003" t="s">
        <v>268</v>
      </c>
      <c r="H1003" t="s">
        <v>12</v>
      </c>
      <c r="I1003" t="s">
        <v>267</v>
      </c>
      <c r="J1003" t="s">
        <v>13</v>
      </c>
      <c r="K1003" t="s">
        <v>269</v>
      </c>
    </row>
    <row r="1004" spans="1:11">
      <c r="A1004" t="s">
        <v>10</v>
      </c>
      <c r="B1004" t="s">
        <v>3476</v>
      </c>
      <c r="C1004" t="s">
        <v>3477</v>
      </c>
      <c r="D1004" s="95">
        <f>Prices!$J$33</f>
        <v>231.9597989949749</v>
      </c>
      <c r="F1004">
        <v>47.67</v>
      </c>
      <c r="G1004" t="s">
        <v>3478</v>
      </c>
      <c r="H1004" t="s">
        <v>12</v>
      </c>
      <c r="I1004" t="s">
        <v>3477</v>
      </c>
      <c r="J1004" t="s">
        <v>1610</v>
      </c>
    </row>
    <row r="1005" spans="1:11">
      <c r="A1005" t="s">
        <v>76</v>
      </c>
      <c r="B1005" t="s">
        <v>270</v>
      </c>
      <c r="C1005" t="s">
        <v>271</v>
      </c>
      <c r="D1005" s="95">
        <f>Prices!$J$33</f>
        <v>231.9597989949749</v>
      </c>
      <c r="F1005">
        <v>0.57999999999999996</v>
      </c>
      <c r="G1005" t="s">
        <v>272</v>
      </c>
      <c r="H1005" t="s">
        <v>12</v>
      </c>
      <c r="I1005" t="s">
        <v>271</v>
      </c>
      <c r="J1005" t="s">
        <v>13</v>
      </c>
      <c r="K1005" t="s">
        <v>273</v>
      </c>
    </row>
    <row r="1006" spans="1:11">
      <c r="A1006" t="s">
        <v>23</v>
      </c>
      <c r="B1006" t="s">
        <v>4232</v>
      </c>
      <c r="C1006" t="s">
        <v>4233</v>
      </c>
      <c r="D1006" s="95">
        <f>Prices!$J$33</f>
        <v>231.9597989949749</v>
      </c>
      <c r="F1006">
        <v>19.09</v>
      </c>
      <c r="G1006" t="s">
        <v>4234</v>
      </c>
      <c r="H1006" t="s">
        <v>4235</v>
      </c>
      <c r="I1006" t="s">
        <v>4233</v>
      </c>
      <c r="J1006" t="s">
        <v>1610</v>
      </c>
    </row>
    <row r="1007" spans="1:11">
      <c r="A1007" t="s">
        <v>76</v>
      </c>
      <c r="B1007" t="s">
        <v>274</v>
      </c>
      <c r="C1007" t="s">
        <v>275</v>
      </c>
      <c r="D1007" s="95">
        <f>Prices!$J$33</f>
        <v>231.9597989949749</v>
      </c>
      <c r="F1007">
        <v>201.22</v>
      </c>
      <c r="G1007" t="s">
        <v>276</v>
      </c>
      <c r="H1007" t="s">
        <v>12</v>
      </c>
      <c r="I1007" t="s">
        <v>275</v>
      </c>
      <c r="J1007" t="s">
        <v>13</v>
      </c>
      <c r="K1007" t="s">
        <v>277</v>
      </c>
    </row>
    <row r="1008" spans="1:11">
      <c r="A1008" t="s">
        <v>23</v>
      </c>
      <c r="B1008" t="s">
        <v>2524</v>
      </c>
      <c r="C1008" t="s">
        <v>2030</v>
      </c>
      <c r="D1008" s="95">
        <f>Prices!$J$33</f>
        <v>231.9597989949749</v>
      </c>
      <c r="F1008">
        <v>72.11</v>
      </c>
      <c r="G1008" t="s">
        <v>2525</v>
      </c>
      <c r="H1008" t="s">
        <v>308</v>
      </c>
      <c r="I1008" t="s">
        <v>2030</v>
      </c>
      <c r="J1008" t="s">
        <v>1610</v>
      </c>
    </row>
    <row r="1009" spans="1:11">
      <c r="A1009" t="s">
        <v>76</v>
      </c>
      <c r="B1009" t="s">
        <v>282</v>
      </c>
      <c r="C1009" t="s">
        <v>283</v>
      </c>
      <c r="D1009" s="95">
        <f>Prices!$J$33</f>
        <v>231.9597989949749</v>
      </c>
      <c r="F1009">
        <v>0.22</v>
      </c>
      <c r="G1009" t="s">
        <v>284</v>
      </c>
      <c r="H1009" t="s">
        <v>12</v>
      </c>
      <c r="I1009" t="s">
        <v>283</v>
      </c>
      <c r="J1009" t="s">
        <v>13</v>
      </c>
      <c r="K1009" t="s">
        <v>285</v>
      </c>
    </row>
    <row r="1010" spans="1:11">
      <c r="A1010" t="s">
        <v>10</v>
      </c>
      <c r="B1010" t="s">
        <v>2843</v>
      </c>
      <c r="C1010" t="s">
        <v>2844</v>
      </c>
      <c r="D1010" s="95">
        <f>Prices!$J$33</f>
        <v>231.9597989949749</v>
      </c>
      <c r="F1010">
        <v>24.59</v>
      </c>
      <c r="G1010" t="s">
        <v>2845</v>
      </c>
      <c r="H1010" t="s">
        <v>12</v>
      </c>
      <c r="I1010" t="s">
        <v>2844</v>
      </c>
      <c r="J1010" t="s">
        <v>1610</v>
      </c>
    </row>
    <row r="1011" spans="1:11">
      <c r="A1011" t="s">
        <v>76</v>
      </c>
      <c r="B1011" t="s">
        <v>4882</v>
      </c>
      <c r="C1011" t="s">
        <v>4883</v>
      </c>
      <c r="D1011" s="95">
        <f>Prices!$J$33</f>
        <v>231.9597989949749</v>
      </c>
      <c r="F1011">
        <v>433.8</v>
      </c>
      <c r="G1011" t="s">
        <v>4884</v>
      </c>
      <c r="H1011" t="s">
        <v>12</v>
      </c>
      <c r="I1011" t="s">
        <v>4883</v>
      </c>
      <c r="J1011" t="s">
        <v>1610</v>
      </c>
      <c r="K1011" t="s">
        <v>4885</v>
      </c>
    </row>
    <row r="1012" spans="1:11">
      <c r="A1012" t="s">
        <v>76</v>
      </c>
      <c r="B1012" t="s">
        <v>278</v>
      </c>
      <c r="C1012" t="s">
        <v>279</v>
      </c>
      <c r="D1012" s="95">
        <f>Prices!$J$33</f>
        <v>231.9597989949749</v>
      </c>
      <c r="F1012">
        <v>0</v>
      </c>
      <c r="G1012" t="s">
        <v>280</v>
      </c>
      <c r="I1012" t="s">
        <v>279</v>
      </c>
      <c r="J1012" t="s">
        <v>13</v>
      </c>
      <c r="K1012" t="s">
        <v>281</v>
      </c>
    </row>
    <row r="1013" spans="1:11">
      <c r="A1013" t="s">
        <v>76</v>
      </c>
      <c r="B1013" t="s">
        <v>2026</v>
      </c>
      <c r="C1013" t="s">
        <v>2027</v>
      </c>
      <c r="D1013" s="95">
        <f>Prices!$J$33</f>
        <v>231.9597989949749</v>
      </c>
      <c r="F1013">
        <v>146.76</v>
      </c>
      <c r="G1013" t="s">
        <v>2028</v>
      </c>
      <c r="H1013" t="s">
        <v>12</v>
      </c>
      <c r="I1013" t="s">
        <v>2027</v>
      </c>
      <c r="J1013" t="s">
        <v>1610</v>
      </c>
      <c r="K1013" t="s">
        <v>2029</v>
      </c>
    </row>
    <row r="1014" spans="1:11">
      <c r="A1014" t="s">
        <v>23</v>
      </c>
      <c r="B1014" t="s">
        <v>356</v>
      </c>
      <c r="C1014" t="s">
        <v>357</v>
      </c>
      <c r="D1014" s="95">
        <f>Prices!$J$33</f>
        <v>231.9597989949749</v>
      </c>
      <c r="F1014">
        <v>0</v>
      </c>
      <c r="G1014" t="s">
        <v>358</v>
      </c>
      <c r="I1014" t="s">
        <v>357</v>
      </c>
      <c r="J1014" t="s">
        <v>13</v>
      </c>
    </row>
    <row r="1015" spans="1:11">
      <c r="A1015" t="s">
        <v>10</v>
      </c>
      <c r="B1015" t="s">
        <v>2450</v>
      </c>
      <c r="C1015" t="s">
        <v>2451</v>
      </c>
      <c r="D1015" s="95">
        <f>Prices!$J$33</f>
        <v>231.9597989949749</v>
      </c>
      <c r="F1015">
        <v>117.31</v>
      </c>
      <c r="G1015" t="s">
        <v>2452</v>
      </c>
      <c r="H1015" t="s">
        <v>12</v>
      </c>
      <c r="I1015" t="s">
        <v>2451</v>
      </c>
      <c r="J1015" t="s">
        <v>1610</v>
      </c>
      <c r="K1015" t="s">
        <v>2453</v>
      </c>
    </row>
    <row r="1016" spans="1:11">
      <c r="A1016" t="s">
        <v>76</v>
      </c>
      <c r="B1016" t="s">
        <v>3085</v>
      </c>
      <c r="C1016" t="s">
        <v>3086</v>
      </c>
      <c r="D1016" s="95">
        <f>Prices!$J$33</f>
        <v>231.9597989949749</v>
      </c>
      <c r="F1016">
        <v>0</v>
      </c>
      <c r="G1016" t="s">
        <v>3087</v>
      </c>
      <c r="I1016" t="s">
        <v>3086</v>
      </c>
      <c r="J1016" t="s">
        <v>1610</v>
      </c>
      <c r="K1016" t="s">
        <v>2761</v>
      </c>
    </row>
    <row r="1017" spans="1:11">
      <c r="A1017" t="s">
        <v>10</v>
      </c>
      <c r="B1017" t="s">
        <v>2799</v>
      </c>
      <c r="C1017" t="s">
        <v>2800</v>
      </c>
      <c r="D1017" s="95">
        <f>Prices!$J$33</f>
        <v>231.9597989949749</v>
      </c>
      <c r="F1017">
        <v>14.59</v>
      </c>
      <c r="G1017" t="s">
        <v>2801</v>
      </c>
      <c r="H1017" t="s">
        <v>12</v>
      </c>
      <c r="I1017" t="s">
        <v>2800</v>
      </c>
      <c r="J1017" t="s">
        <v>1610</v>
      </c>
      <c r="K1017" t="s">
        <v>2761</v>
      </c>
    </row>
    <row r="1018" spans="1:11">
      <c r="A1018" t="s">
        <v>10</v>
      </c>
      <c r="B1018" t="s">
        <v>2758</v>
      </c>
      <c r="C1018" t="s">
        <v>2759</v>
      </c>
      <c r="D1018" s="95">
        <f>Prices!$J$33</f>
        <v>231.9597989949749</v>
      </c>
      <c r="F1018">
        <v>34.409999999999997</v>
      </c>
      <c r="G1018" t="s">
        <v>2760</v>
      </c>
      <c r="H1018" t="s">
        <v>12</v>
      </c>
      <c r="I1018" t="s">
        <v>2759</v>
      </c>
      <c r="J1018" t="s">
        <v>1610</v>
      </c>
      <c r="K1018" t="s">
        <v>2761</v>
      </c>
    </row>
    <row r="1019" spans="1:11">
      <c r="A1019" t="s">
        <v>10</v>
      </c>
      <c r="B1019" t="s">
        <v>634</v>
      </c>
      <c r="C1019" t="s">
        <v>635</v>
      </c>
      <c r="D1019" s="95">
        <f>Prices!$J$33</f>
        <v>231.9597989949749</v>
      </c>
      <c r="F1019">
        <v>3.45</v>
      </c>
      <c r="G1019" t="s">
        <v>636</v>
      </c>
      <c r="H1019" t="s">
        <v>12</v>
      </c>
      <c r="I1019" t="s">
        <v>635</v>
      </c>
      <c r="J1019" t="s">
        <v>13</v>
      </c>
      <c r="K1019" t="s">
        <v>261</v>
      </c>
    </row>
    <row r="1020" spans="1:11">
      <c r="A1020" t="s">
        <v>76</v>
      </c>
      <c r="B1020" t="s">
        <v>587</v>
      </c>
      <c r="C1020" t="s">
        <v>588</v>
      </c>
      <c r="D1020" s="95">
        <f>Prices!$J$33</f>
        <v>231.9597989949749</v>
      </c>
      <c r="F1020">
        <v>0</v>
      </c>
      <c r="G1020" t="s">
        <v>589</v>
      </c>
      <c r="I1020" t="s">
        <v>588</v>
      </c>
      <c r="J1020" t="s">
        <v>13</v>
      </c>
      <c r="K1020" t="s">
        <v>590</v>
      </c>
    </row>
    <row r="1021" spans="1:11">
      <c r="A1021" t="s">
        <v>76</v>
      </c>
      <c r="B1021" t="s">
        <v>652</v>
      </c>
      <c r="C1021" t="s">
        <v>653</v>
      </c>
      <c r="D1021" s="95">
        <f>Prices!$J$33</f>
        <v>231.9597989949749</v>
      </c>
      <c r="F1021">
        <v>0.02</v>
      </c>
      <c r="G1021" t="s">
        <v>654</v>
      </c>
      <c r="H1021" t="s">
        <v>12</v>
      </c>
      <c r="I1021" t="s">
        <v>653</v>
      </c>
      <c r="J1021" t="s">
        <v>13</v>
      </c>
      <c r="K1021" t="s">
        <v>655</v>
      </c>
    </row>
    <row r="1022" spans="1:11">
      <c r="A1022" t="s">
        <v>23</v>
      </c>
      <c r="B1022" t="s">
        <v>2726</v>
      </c>
      <c r="C1022" t="s">
        <v>2727</v>
      </c>
      <c r="D1022" s="95">
        <f>Prices!$J$33</f>
        <v>231.9597989949749</v>
      </c>
      <c r="F1022">
        <v>73.67</v>
      </c>
      <c r="G1022" t="s">
        <v>2728</v>
      </c>
      <c r="H1022" t="s">
        <v>12</v>
      </c>
      <c r="I1022" t="s">
        <v>2727</v>
      </c>
      <c r="J1022" t="s">
        <v>1610</v>
      </c>
    </row>
    <row r="1023" spans="1:11">
      <c r="A1023" t="s">
        <v>10</v>
      </c>
      <c r="B1023" t="s">
        <v>2000</v>
      </c>
      <c r="C1023" t="s">
        <v>2001</v>
      </c>
      <c r="D1023" s="95">
        <f>Prices!$J$33</f>
        <v>231.9597989949749</v>
      </c>
      <c r="F1023">
        <v>0.21</v>
      </c>
      <c r="G1023" t="s">
        <v>2662</v>
      </c>
      <c r="H1023" t="s">
        <v>12</v>
      </c>
      <c r="I1023" t="s">
        <v>2001</v>
      </c>
      <c r="J1023" t="s">
        <v>1610</v>
      </c>
      <c r="K1023" t="s">
        <v>2663</v>
      </c>
    </row>
    <row r="1024" spans="1:11">
      <c r="A1024" t="s">
        <v>76</v>
      </c>
      <c r="B1024" t="s">
        <v>313</v>
      </c>
      <c r="C1024" t="s">
        <v>314</v>
      </c>
      <c r="D1024" s="95">
        <f>Prices!$J$33</f>
        <v>231.9597989949749</v>
      </c>
      <c r="F1024">
        <v>0</v>
      </c>
      <c r="G1024" t="s">
        <v>315</v>
      </c>
      <c r="I1024" t="s">
        <v>314</v>
      </c>
      <c r="J1024" t="s">
        <v>13</v>
      </c>
      <c r="K1024" t="s">
        <v>316</v>
      </c>
    </row>
    <row r="1025" spans="1:11">
      <c r="A1025" t="s">
        <v>76</v>
      </c>
      <c r="B1025" t="s">
        <v>2271</v>
      </c>
      <c r="C1025" t="s">
        <v>2272</v>
      </c>
      <c r="D1025" s="95">
        <f>Prices!$J$33</f>
        <v>231.9597989949749</v>
      </c>
      <c r="F1025">
        <v>18.57</v>
      </c>
      <c r="G1025" t="s">
        <v>2273</v>
      </c>
      <c r="H1025" t="s">
        <v>12</v>
      </c>
      <c r="I1025" t="s">
        <v>2272</v>
      </c>
      <c r="J1025" t="s">
        <v>1610</v>
      </c>
      <c r="K1025" t="s">
        <v>2274</v>
      </c>
    </row>
    <row r="1026" spans="1:11">
      <c r="A1026" t="s">
        <v>10</v>
      </c>
      <c r="B1026" t="s">
        <v>656</v>
      </c>
      <c r="C1026" t="s">
        <v>657</v>
      </c>
      <c r="D1026" s="95">
        <f>Prices!$J$33</f>
        <v>231.9597989949749</v>
      </c>
      <c r="F1026">
        <v>2.95</v>
      </c>
      <c r="G1026" t="s">
        <v>658</v>
      </c>
      <c r="H1026" t="s">
        <v>12</v>
      </c>
      <c r="I1026" t="s">
        <v>657</v>
      </c>
      <c r="J1026" t="s">
        <v>13</v>
      </c>
      <c r="K1026" t="s">
        <v>659</v>
      </c>
    </row>
    <row r="1027" spans="1:11">
      <c r="A1027" t="s">
        <v>76</v>
      </c>
      <c r="B1027" t="s">
        <v>1623</v>
      </c>
      <c r="C1027" t="s">
        <v>1624</v>
      </c>
      <c r="D1027" s="95">
        <f>Prices!$J$33</f>
        <v>231.9597989949749</v>
      </c>
      <c r="F1027">
        <v>78.39</v>
      </c>
      <c r="G1027" t="s">
        <v>1625</v>
      </c>
      <c r="H1027" t="s">
        <v>12</v>
      </c>
      <c r="I1027" t="s">
        <v>1624</v>
      </c>
      <c r="J1027" t="s">
        <v>1610</v>
      </c>
      <c r="K1027" t="s">
        <v>1626</v>
      </c>
    </row>
    <row r="1028" spans="1:11">
      <c r="A1028" t="s">
        <v>76</v>
      </c>
      <c r="B1028" t="s">
        <v>660</v>
      </c>
      <c r="C1028" t="s">
        <v>661</v>
      </c>
      <c r="D1028" s="95">
        <f>Prices!$J$33</f>
        <v>231.9597989949749</v>
      </c>
      <c r="F1028">
        <v>5.97</v>
      </c>
      <c r="G1028" t="s">
        <v>662</v>
      </c>
      <c r="H1028" t="s">
        <v>12</v>
      </c>
      <c r="I1028" t="s">
        <v>661</v>
      </c>
      <c r="J1028" t="s">
        <v>13</v>
      </c>
      <c r="K1028" t="s">
        <v>663</v>
      </c>
    </row>
    <row r="1029" spans="1:11">
      <c r="A1029" t="s">
        <v>76</v>
      </c>
      <c r="B1029" t="s">
        <v>3193</v>
      </c>
      <c r="C1029" t="s">
        <v>3194</v>
      </c>
      <c r="D1029" s="95">
        <f>Prices!$J$33</f>
        <v>231.9597989949749</v>
      </c>
      <c r="F1029">
        <v>0</v>
      </c>
      <c r="G1029" t="s">
        <v>3195</v>
      </c>
      <c r="I1029" t="s">
        <v>3194</v>
      </c>
      <c r="J1029" t="s">
        <v>1610</v>
      </c>
      <c r="K1029" t="s">
        <v>3196</v>
      </c>
    </row>
    <row r="1030" spans="1:11">
      <c r="A1030" t="s">
        <v>76</v>
      </c>
      <c r="B1030" t="s">
        <v>1627</v>
      </c>
      <c r="C1030" t="s">
        <v>1628</v>
      </c>
      <c r="D1030" s="95">
        <f>Prices!$J$33</f>
        <v>231.9597989949749</v>
      </c>
      <c r="F1030">
        <v>92.76</v>
      </c>
      <c r="G1030" t="s">
        <v>1629</v>
      </c>
      <c r="H1030" t="s">
        <v>12</v>
      </c>
      <c r="I1030" t="s">
        <v>1628</v>
      </c>
      <c r="J1030" t="s">
        <v>1610</v>
      </c>
      <c r="K1030" t="s">
        <v>1630</v>
      </c>
    </row>
    <row r="1031" spans="1:11">
      <c r="A1031" t="s">
        <v>76</v>
      </c>
      <c r="B1031" t="s">
        <v>664</v>
      </c>
      <c r="C1031" t="s">
        <v>665</v>
      </c>
      <c r="D1031" s="95">
        <f>Prices!$J$33</f>
        <v>231.9597989949749</v>
      </c>
      <c r="F1031">
        <v>7.51</v>
      </c>
      <c r="G1031" t="s">
        <v>666</v>
      </c>
      <c r="H1031" t="s">
        <v>12</v>
      </c>
      <c r="I1031" t="s">
        <v>665</v>
      </c>
      <c r="J1031" t="s">
        <v>13</v>
      </c>
      <c r="K1031" t="s">
        <v>667</v>
      </c>
    </row>
    <row r="1032" spans="1:11">
      <c r="A1032" t="s">
        <v>76</v>
      </c>
      <c r="B1032" t="s">
        <v>3398</v>
      </c>
      <c r="C1032" t="s">
        <v>3399</v>
      </c>
      <c r="D1032" s="95">
        <f>Prices!$J$33</f>
        <v>231.9597989949749</v>
      </c>
      <c r="F1032">
        <v>0</v>
      </c>
      <c r="G1032" t="s">
        <v>3400</v>
      </c>
      <c r="I1032" t="s">
        <v>3399</v>
      </c>
      <c r="J1032" t="s">
        <v>1610</v>
      </c>
      <c r="K1032" t="s">
        <v>3401</v>
      </c>
    </row>
    <row r="1033" spans="1:11">
      <c r="A1033" t="s">
        <v>76</v>
      </c>
      <c r="B1033" t="s">
        <v>2341</v>
      </c>
      <c r="C1033" t="s">
        <v>2342</v>
      </c>
      <c r="D1033" s="95">
        <f>Prices!$J$33</f>
        <v>231.9597989949749</v>
      </c>
      <c r="F1033">
        <v>218.41</v>
      </c>
      <c r="G1033" t="s">
        <v>2343</v>
      </c>
      <c r="H1033" t="s">
        <v>12</v>
      </c>
      <c r="I1033" t="s">
        <v>2342</v>
      </c>
      <c r="J1033" t="s">
        <v>1610</v>
      </c>
      <c r="K1033" t="s">
        <v>2344</v>
      </c>
    </row>
    <row r="1034" spans="1:11">
      <c r="A1034" t="s">
        <v>76</v>
      </c>
      <c r="B1034" t="s">
        <v>1631</v>
      </c>
      <c r="C1034" t="s">
        <v>1632</v>
      </c>
      <c r="D1034" s="95">
        <f>Prices!$J$33</f>
        <v>231.9597989949749</v>
      </c>
      <c r="F1034">
        <v>210.06</v>
      </c>
      <c r="G1034" t="s">
        <v>1633</v>
      </c>
      <c r="H1034" t="s">
        <v>12</v>
      </c>
      <c r="I1034" t="s">
        <v>1632</v>
      </c>
      <c r="J1034" t="s">
        <v>1610</v>
      </c>
      <c r="K1034" t="s">
        <v>1634</v>
      </c>
    </row>
    <row r="1035" spans="1:11">
      <c r="A1035" t="s">
        <v>23</v>
      </c>
      <c r="B1035" t="s">
        <v>334</v>
      </c>
      <c r="C1035" t="s">
        <v>335</v>
      </c>
      <c r="D1035" s="95">
        <f>Prices!$J$33</f>
        <v>231.9597989949749</v>
      </c>
      <c r="F1035">
        <v>84.69</v>
      </c>
      <c r="G1035" t="s">
        <v>643</v>
      </c>
      <c r="H1035" t="s">
        <v>12</v>
      </c>
      <c r="I1035" t="s">
        <v>335</v>
      </c>
      <c r="J1035" t="s">
        <v>13</v>
      </c>
    </row>
    <row r="1036" spans="1:11">
      <c r="A1036" t="s">
        <v>76</v>
      </c>
      <c r="B1036" t="s">
        <v>3233</v>
      </c>
      <c r="C1036" t="s">
        <v>3234</v>
      </c>
      <c r="D1036" s="95">
        <f>Prices!$J$33</f>
        <v>231.9597989949749</v>
      </c>
      <c r="F1036">
        <v>0</v>
      </c>
      <c r="G1036" t="s">
        <v>3235</v>
      </c>
      <c r="I1036" t="s">
        <v>3234</v>
      </c>
      <c r="J1036" t="s">
        <v>1610</v>
      </c>
      <c r="K1036" t="s">
        <v>3236</v>
      </c>
    </row>
    <row r="1037" spans="1:11">
      <c r="A1037" t="s">
        <v>76</v>
      </c>
      <c r="B1037" t="s">
        <v>1635</v>
      </c>
      <c r="C1037" t="s">
        <v>1636</v>
      </c>
      <c r="D1037" s="95">
        <f>Prices!$J$33</f>
        <v>231.9597989949749</v>
      </c>
      <c r="F1037">
        <v>59.47</v>
      </c>
      <c r="G1037" t="s">
        <v>1637</v>
      </c>
      <c r="H1037" t="s">
        <v>12</v>
      </c>
      <c r="I1037" t="s">
        <v>1636</v>
      </c>
      <c r="J1037" t="s">
        <v>1610</v>
      </c>
      <c r="K1037" t="s">
        <v>1638</v>
      </c>
    </row>
    <row r="1038" spans="1:11">
      <c r="A1038" t="s">
        <v>23</v>
      </c>
      <c r="B1038" t="s">
        <v>675</v>
      </c>
      <c r="C1038" t="s">
        <v>676</v>
      </c>
      <c r="D1038" s="95">
        <f>Prices!$J$33</f>
        <v>231.9597989949749</v>
      </c>
      <c r="F1038">
        <v>30.8</v>
      </c>
      <c r="G1038" t="s">
        <v>780</v>
      </c>
      <c r="H1038" t="s">
        <v>12</v>
      </c>
      <c r="I1038" t="s">
        <v>676</v>
      </c>
      <c r="J1038" t="s">
        <v>13</v>
      </c>
      <c r="K1038" t="s">
        <v>781</v>
      </c>
    </row>
    <row r="1039" spans="1:11">
      <c r="A1039" t="s">
        <v>76</v>
      </c>
      <c r="B1039" t="s">
        <v>1639</v>
      </c>
      <c r="C1039" t="s">
        <v>1640</v>
      </c>
      <c r="D1039" s="95">
        <f>Prices!$J$33</f>
        <v>231.9597989949749</v>
      </c>
      <c r="F1039">
        <v>10.43</v>
      </c>
      <c r="G1039" t="s">
        <v>1641</v>
      </c>
      <c r="H1039" t="s">
        <v>12</v>
      </c>
      <c r="I1039" t="s">
        <v>1640</v>
      </c>
      <c r="J1039" t="s">
        <v>1610</v>
      </c>
      <c r="K1039" t="s">
        <v>1642</v>
      </c>
    </row>
    <row r="1040" spans="1:11">
      <c r="A1040" t="s">
        <v>10</v>
      </c>
      <c r="B1040" t="s">
        <v>3538</v>
      </c>
      <c r="C1040" t="s">
        <v>3539</v>
      </c>
      <c r="D1040" s="95">
        <f>Prices!$J$33</f>
        <v>231.9597989949749</v>
      </c>
      <c r="F1040">
        <v>34.92</v>
      </c>
      <c r="G1040" t="s">
        <v>3576</v>
      </c>
      <c r="H1040" t="s">
        <v>12</v>
      </c>
      <c r="I1040" t="s">
        <v>3539</v>
      </c>
      <c r="J1040" t="s">
        <v>1610</v>
      </c>
    </row>
    <row r="1041" spans="1:11">
      <c r="A1041" t="s">
        <v>23</v>
      </c>
      <c r="B1041" t="s">
        <v>2850</v>
      </c>
      <c r="C1041" t="s">
        <v>2851</v>
      </c>
      <c r="D1041" s="95">
        <f>Prices!$J$33</f>
        <v>231.9597989949749</v>
      </c>
      <c r="F1041">
        <v>17.46</v>
      </c>
      <c r="G1041" t="s">
        <v>2852</v>
      </c>
      <c r="H1041" t="s">
        <v>12</v>
      </c>
      <c r="I1041" t="s">
        <v>2851</v>
      </c>
      <c r="J1041" t="s">
        <v>1610</v>
      </c>
    </row>
    <row r="1042" spans="1:11">
      <c r="A1042" t="s">
        <v>23</v>
      </c>
      <c r="B1042" t="s">
        <v>935</v>
      </c>
      <c r="C1042" t="s">
        <v>11</v>
      </c>
      <c r="D1042" s="95">
        <f>Prices!$J$33</f>
        <v>231.9597989949749</v>
      </c>
      <c r="F1042">
        <v>477.11</v>
      </c>
      <c r="G1042" t="s">
        <v>936</v>
      </c>
      <c r="H1042" t="s">
        <v>12</v>
      </c>
      <c r="I1042" t="s">
        <v>11</v>
      </c>
      <c r="J1042" t="s">
        <v>13</v>
      </c>
    </row>
    <row r="1043" spans="1:11">
      <c r="A1043" t="s">
        <v>76</v>
      </c>
      <c r="B1043" t="s">
        <v>2715</v>
      </c>
      <c r="C1043" t="s">
        <v>2716</v>
      </c>
      <c r="D1043" s="95">
        <f>Prices!$J$33</f>
        <v>231.9597989949749</v>
      </c>
      <c r="F1043">
        <v>42.4</v>
      </c>
      <c r="G1043" t="s">
        <v>2717</v>
      </c>
      <c r="H1043" t="s">
        <v>12</v>
      </c>
      <c r="I1043" t="s">
        <v>2716</v>
      </c>
      <c r="J1043" t="s">
        <v>1610</v>
      </c>
      <c r="K1043" t="s">
        <v>2718</v>
      </c>
    </row>
    <row r="1044" spans="1:11">
      <c r="A1044" t="s">
        <v>10</v>
      </c>
      <c r="B1044" t="s">
        <v>1644</v>
      </c>
      <c r="C1044" t="s">
        <v>1645</v>
      </c>
      <c r="D1044" s="95">
        <f>Prices!$J$33</f>
        <v>231.9597989949749</v>
      </c>
      <c r="F1044">
        <v>61.51</v>
      </c>
      <c r="G1044" t="s">
        <v>2202</v>
      </c>
      <c r="H1044" t="s">
        <v>12</v>
      </c>
      <c r="I1044" t="s">
        <v>1645</v>
      </c>
      <c r="J1044" t="s">
        <v>1610</v>
      </c>
      <c r="K1044" t="s">
        <v>2203</v>
      </c>
    </row>
    <row r="1045" spans="1:11">
      <c r="A1045" t="s">
        <v>76</v>
      </c>
      <c r="B1045" t="s">
        <v>677</v>
      </c>
      <c r="C1045" t="s">
        <v>678</v>
      </c>
      <c r="D1045" s="95">
        <f>Prices!$J$33</f>
        <v>231.9597989949749</v>
      </c>
      <c r="F1045">
        <v>0.1</v>
      </c>
      <c r="G1045" t="s">
        <v>679</v>
      </c>
      <c r="H1045" t="s">
        <v>12</v>
      </c>
      <c r="I1045" t="s">
        <v>678</v>
      </c>
      <c r="J1045" t="s">
        <v>13</v>
      </c>
      <c r="K1045" t="s">
        <v>680</v>
      </c>
    </row>
    <row r="1046" spans="1:11">
      <c r="A1046" t="s">
        <v>10</v>
      </c>
      <c r="B1046" t="s">
        <v>2469</v>
      </c>
      <c r="C1046" t="s">
        <v>2470</v>
      </c>
      <c r="D1046" s="95">
        <f>Prices!$J$33</f>
        <v>231.9597989949749</v>
      </c>
      <c r="F1046">
        <v>33.74</v>
      </c>
      <c r="G1046" t="s">
        <v>2471</v>
      </c>
      <c r="H1046" t="s">
        <v>12</v>
      </c>
      <c r="I1046" t="s">
        <v>2470</v>
      </c>
      <c r="J1046" t="s">
        <v>1610</v>
      </c>
      <c r="K1046" t="s">
        <v>2472</v>
      </c>
    </row>
    <row r="1047" spans="1:11">
      <c r="A1047" t="s">
        <v>10</v>
      </c>
      <c r="B1047" t="s">
        <v>1646</v>
      </c>
      <c r="C1047" t="s">
        <v>1647</v>
      </c>
      <c r="D1047" s="95">
        <f>Prices!$J$33</f>
        <v>231.9597989949749</v>
      </c>
      <c r="F1047">
        <v>6.7</v>
      </c>
      <c r="G1047" t="s">
        <v>2531</v>
      </c>
      <c r="H1047" t="s">
        <v>12</v>
      </c>
      <c r="I1047" t="s">
        <v>1647</v>
      </c>
      <c r="J1047" t="s">
        <v>1610</v>
      </c>
      <c r="K1047" t="s">
        <v>2532</v>
      </c>
    </row>
    <row r="1048" spans="1:11">
      <c r="A1048" t="s">
        <v>23</v>
      </c>
      <c r="B1048" t="s">
        <v>610</v>
      </c>
      <c r="C1048" t="s">
        <v>28</v>
      </c>
      <c r="D1048" s="95">
        <f>Prices!$J$33</f>
        <v>231.9597989949749</v>
      </c>
      <c r="F1048">
        <v>108.1</v>
      </c>
      <c r="G1048" t="s">
        <v>611</v>
      </c>
      <c r="H1048" t="s">
        <v>12</v>
      </c>
      <c r="I1048" t="s">
        <v>28</v>
      </c>
      <c r="J1048" t="s">
        <v>13</v>
      </c>
    </row>
    <row r="1049" spans="1:11">
      <c r="A1049" t="s">
        <v>10</v>
      </c>
      <c r="B1049" t="s">
        <v>3001</v>
      </c>
      <c r="C1049" t="s">
        <v>3002</v>
      </c>
      <c r="D1049" s="95">
        <f>Prices!$J$33</f>
        <v>231.9597989949749</v>
      </c>
      <c r="F1049">
        <v>0</v>
      </c>
      <c r="G1049" t="s">
        <v>3003</v>
      </c>
      <c r="I1049" t="s">
        <v>3002</v>
      </c>
      <c r="J1049" t="s">
        <v>1610</v>
      </c>
      <c r="K1049" t="s">
        <v>2819</v>
      </c>
    </row>
    <row r="1050" spans="1:11">
      <c r="A1050" t="s">
        <v>76</v>
      </c>
      <c r="B1050" t="s">
        <v>684</v>
      </c>
      <c r="C1050" t="s">
        <v>685</v>
      </c>
      <c r="D1050" s="95">
        <f>Prices!$J$33</f>
        <v>231.9597989949749</v>
      </c>
      <c r="F1050">
        <v>107.13</v>
      </c>
      <c r="G1050" t="s">
        <v>686</v>
      </c>
      <c r="H1050" t="s">
        <v>12</v>
      </c>
      <c r="I1050" t="s">
        <v>685</v>
      </c>
      <c r="J1050" t="s">
        <v>13</v>
      </c>
      <c r="K1050" t="s">
        <v>687</v>
      </c>
    </row>
    <row r="1051" spans="1:11">
      <c r="A1051" t="s">
        <v>23</v>
      </c>
      <c r="B1051" t="s">
        <v>1648</v>
      </c>
      <c r="C1051" t="s">
        <v>1649</v>
      </c>
      <c r="D1051" s="95">
        <f>Prices!$J$33</f>
        <v>231.9597989949749</v>
      </c>
      <c r="F1051">
        <v>9.49</v>
      </c>
      <c r="G1051" t="s">
        <v>3864</v>
      </c>
      <c r="H1051" t="s">
        <v>12</v>
      </c>
      <c r="I1051" t="s">
        <v>1649</v>
      </c>
      <c r="J1051" t="s">
        <v>1610</v>
      </c>
    </row>
    <row r="1052" spans="1:11">
      <c r="A1052" t="s">
        <v>76</v>
      </c>
      <c r="B1052" t="s">
        <v>688</v>
      </c>
      <c r="C1052" t="s">
        <v>689</v>
      </c>
      <c r="D1052" s="95">
        <f>Prices!$J$33</f>
        <v>231.9597989949749</v>
      </c>
      <c r="F1052">
        <v>146.85</v>
      </c>
      <c r="G1052" t="s">
        <v>690</v>
      </c>
      <c r="H1052" t="s">
        <v>12</v>
      </c>
      <c r="I1052" t="s">
        <v>689</v>
      </c>
      <c r="J1052" t="s">
        <v>13</v>
      </c>
      <c r="K1052" t="s">
        <v>691</v>
      </c>
    </row>
    <row r="1053" spans="1:11">
      <c r="A1053" t="s">
        <v>76</v>
      </c>
      <c r="B1053" t="s">
        <v>398</v>
      </c>
      <c r="C1053" t="s">
        <v>399</v>
      </c>
      <c r="D1053" s="95">
        <f>Prices!$J$33</f>
        <v>231.9597989949749</v>
      </c>
      <c r="F1053">
        <v>0</v>
      </c>
      <c r="G1053" t="s">
        <v>400</v>
      </c>
      <c r="I1053" t="s">
        <v>399</v>
      </c>
      <c r="J1053" t="s">
        <v>13</v>
      </c>
      <c r="K1053" t="s">
        <v>401</v>
      </c>
    </row>
    <row r="1054" spans="1:11">
      <c r="A1054" t="s">
        <v>10</v>
      </c>
      <c r="B1054" t="s">
        <v>2626</v>
      </c>
      <c r="C1054" t="s">
        <v>2627</v>
      </c>
      <c r="D1054" s="95">
        <f>Prices!$J$33</f>
        <v>231.9597989949749</v>
      </c>
      <c r="F1054">
        <v>10.57</v>
      </c>
      <c r="G1054" t="s">
        <v>2628</v>
      </c>
      <c r="H1054" t="s">
        <v>12</v>
      </c>
      <c r="I1054" t="s">
        <v>2627</v>
      </c>
      <c r="J1054" t="s">
        <v>1610</v>
      </c>
      <c r="K1054" t="s">
        <v>2629</v>
      </c>
    </row>
    <row r="1055" spans="1:11">
      <c r="A1055" t="s">
        <v>10</v>
      </c>
      <c r="B1055" t="s">
        <v>1650</v>
      </c>
      <c r="C1055" t="s">
        <v>1651</v>
      </c>
      <c r="D1055" s="95">
        <f>Prices!$J$33</f>
        <v>231.9597989949749</v>
      </c>
      <c r="F1055">
        <v>45.37</v>
      </c>
      <c r="G1055" t="s">
        <v>3489</v>
      </c>
      <c r="H1055" t="s">
        <v>12</v>
      </c>
      <c r="I1055" t="s">
        <v>1651</v>
      </c>
      <c r="J1055" t="s">
        <v>1610</v>
      </c>
      <c r="K1055" t="s">
        <v>3490</v>
      </c>
    </row>
    <row r="1056" spans="1:11">
      <c r="A1056" t="s">
        <v>23</v>
      </c>
      <c r="B1056" t="s">
        <v>325</v>
      </c>
      <c r="C1056" t="s">
        <v>326</v>
      </c>
      <c r="D1056" s="95">
        <f>Prices!$J$33</f>
        <v>231.9597989949749</v>
      </c>
      <c r="F1056">
        <v>83.03</v>
      </c>
      <c r="G1056" t="s">
        <v>362</v>
      </c>
      <c r="H1056" t="s">
        <v>12</v>
      </c>
      <c r="I1056" t="s">
        <v>326</v>
      </c>
      <c r="J1056" t="s">
        <v>13</v>
      </c>
      <c r="K1056" t="s">
        <v>363</v>
      </c>
    </row>
    <row r="1057" spans="1:11">
      <c r="A1057" t="s">
        <v>10</v>
      </c>
      <c r="B1057" t="s">
        <v>3454</v>
      </c>
      <c r="C1057" t="s">
        <v>3455</v>
      </c>
      <c r="D1057" s="95">
        <f>Prices!$J$33</f>
        <v>231.9597989949749</v>
      </c>
      <c r="F1057">
        <v>18.54</v>
      </c>
      <c r="G1057" t="s">
        <v>3456</v>
      </c>
      <c r="H1057" t="s">
        <v>12</v>
      </c>
      <c r="I1057" t="s">
        <v>3455</v>
      </c>
      <c r="J1057" t="s">
        <v>1610</v>
      </c>
    </row>
    <row r="1058" spans="1:11">
      <c r="A1058" t="s">
        <v>10</v>
      </c>
      <c r="B1058" t="s">
        <v>1652</v>
      </c>
      <c r="C1058" t="s">
        <v>1653</v>
      </c>
      <c r="D1058" s="95">
        <f>Prices!$J$33</f>
        <v>231.9597989949749</v>
      </c>
      <c r="F1058">
        <v>11.35</v>
      </c>
      <c r="G1058" t="s">
        <v>4247</v>
      </c>
      <c r="H1058" t="s">
        <v>12</v>
      </c>
      <c r="I1058" t="s">
        <v>1653</v>
      </c>
      <c r="J1058" t="s">
        <v>1610</v>
      </c>
      <c r="K1058" t="s">
        <v>4248</v>
      </c>
    </row>
    <row r="1059" spans="1:11">
      <c r="A1059" t="s">
        <v>76</v>
      </c>
      <c r="B1059" t="s">
        <v>718</v>
      </c>
      <c r="C1059" t="s">
        <v>719</v>
      </c>
      <c r="D1059" s="95">
        <f>Prices!$J$33</f>
        <v>231.9597989949749</v>
      </c>
      <c r="F1059">
        <v>0</v>
      </c>
      <c r="G1059" t="s">
        <v>720</v>
      </c>
      <c r="I1059" t="s">
        <v>719</v>
      </c>
      <c r="J1059" t="s">
        <v>13</v>
      </c>
      <c r="K1059" t="s">
        <v>721</v>
      </c>
    </row>
    <row r="1060" spans="1:11" ht="30">
      <c r="A1060" t="s">
        <v>10</v>
      </c>
      <c r="B1060" s="1" t="s">
        <v>3581</v>
      </c>
      <c r="C1060" t="s">
        <v>3582</v>
      </c>
      <c r="D1060" s="95">
        <f>Prices!$J$33</f>
        <v>231.9597989949749</v>
      </c>
      <c r="F1060">
        <v>26.57</v>
      </c>
      <c r="G1060" t="s">
        <v>3583</v>
      </c>
      <c r="H1060" t="s">
        <v>12</v>
      </c>
      <c r="I1060" t="s">
        <v>3582</v>
      </c>
      <c r="J1060" t="s">
        <v>1610</v>
      </c>
    </row>
    <row r="1061" spans="1:11">
      <c r="A1061" t="s">
        <v>10</v>
      </c>
      <c r="B1061" t="s">
        <v>3207</v>
      </c>
      <c r="C1061" t="s">
        <v>3208</v>
      </c>
      <c r="D1061" s="95">
        <f>Prices!$J$33</f>
        <v>231.9597989949749</v>
      </c>
      <c r="F1061">
        <v>0</v>
      </c>
      <c r="G1061" t="s">
        <v>3209</v>
      </c>
      <c r="I1061" t="s">
        <v>3208</v>
      </c>
      <c r="J1061" t="s">
        <v>1610</v>
      </c>
    </row>
    <row r="1062" spans="1:11">
      <c r="A1062" t="s">
        <v>76</v>
      </c>
      <c r="B1062" t="s">
        <v>618</v>
      </c>
      <c r="C1062" t="s">
        <v>619</v>
      </c>
      <c r="D1062" s="95">
        <f>Prices!$J$33</f>
        <v>231.9597989949749</v>
      </c>
      <c r="F1062">
        <v>0</v>
      </c>
      <c r="G1062" t="s">
        <v>620</v>
      </c>
      <c r="I1062" t="s">
        <v>619</v>
      </c>
      <c r="J1062" t="s">
        <v>13</v>
      </c>
      <c r="K1062" t="s">
        <v>621</v>
      </c>
    </row>
    <row r="1063" spans="1:11">
      <c r="A1063" t="s">
        <v>76</v>
      </c>
      <c r="B1063" t="s">
        <v>3213</v>
      </c>
      <c r="C1063" t="s">
        <v>3214</v>
      </c>
      <c r="D1063" s="95">
        <f>Prices!$J$33</f>
        <v>231.9597989949749</v>
      </c>
      <c r="F1063">
        <v>0</v>
      </c>
      <c r="G1063" t="s">
        <v>3215</v>
      </c>
      <c r="I1063" t="s">
        <v>3214</v>
      </c>
      <c r="J1063" t="s">
        <v>1610</v>
      </c>
      <c r="K1063" t="s">
        <v>3216</v>
      </c>
    </row>
    <row r="1064" spans="1:11" ht="30">
      <c r="A1064" t="s">
        <v>10</v>
      </c>
      <c r="B1064" s="1" t="s">
        <v>2691</v>
      </c>
      <c r="C1064" t="s">
        <v>2692</v>
      </c>
      <c r="D1064" s="95">
        <f>Prices!$J$33</f>
        <v>231.9597989949749</v>
      </c>
      <c r="F1064">
        <v>12.48</v>
      </c>
      <c r="G1064" t="s">
        <v>2693</v>
      </c>
      <c r="H1064" t="s">
        <v>12</v>
      </c>
      <c r="I1064" t="s">
        <v>2692</v>
      </c>
      <c r="J1064" t="s">
        <v>1610</v>
      </c>
    </row>
    <row r="1065" spans="1:11">
      <c r="A1065" t="s">
        <v>23</v>
      </c>
      <c r="B1065" t="s">
        <v>3778</v>
      </c>
      <c r="C1065" t="s">
        <v>1643</v>
      </c>
      <c r="D1065" s="95">
        <f>Prices!$J$33</f>
        <v>231.9597989949749</v>
      </c>
      <c r="F1065">
        <v>124.04</v>
      </c>
      <c r="G1065" t="s">
        <v>3779</v>
      </c>
      <c r="H1065" t="s">
        <v>12</v>
      </c>
      <c r="I1065" t="s">
        <v>1643</v>
      </c>
      <c r="J1065" t="s">
        <v>1610</v>
      </c>
    </row>
    <row r="1066" spans="1:11" ht="30">
      <c r="A1066" t="s">
        <v>10</v>
      </c>
      <c r="B1066" s="1" t="s">
        <v>65</v>
      </c>
      <c r="C1066" t="s">
        <v>66</v>
      </c>
      <c r="D1066" s="95">
        <f>Prices!$J$33</f>
        <v>231.9597989949749</v>
      </c>
      <c r="F1066">
        <v>14.12</v>
      </c>
      <c r="G1066" t="s">
        <v>67</v>
      </c>
      <c r="H1066" t="s">
        <v>12</v>
      </c>
      <c r="I1066" t="s">
        <v>66</v>
      </c>
      <c r="J1066" t="s">
        <v>13</v>
      </c>
    </row>
    <row r="1067" spans="1:11">
      <c r="A1067" t="s">
        <v>23</v>
      </c>
      <c r="B1067" t="s">
        <v>3974</v>
      </c>
      <c r="C1067" t="s">
        <v>3975</v>
      </c>
      <c r="D1067" s="95">
        <f>Prices!$J$33</f>
        <v>231.9597989949749</v>
      </c>
      <c r="F1067">
        <v>39.130000000000003</v>
      </c>
      <c r="G1067" t="s">
        <v>3976</v>
      </c>
      <c r="H1067" t="s">
        <v>12</v>
      </c>
      <c r="I1067" t="s">
        <v>3975</v>
      </c>
      <c r="J1067" t="s">
        <v>1610</v>
      </c>
    </row>
    <row r="1068" spans="1:11">
      <c r="A1068" t="s">
        <v>254</v>
      </c>
      <c r="B1068" t="s">
        <v>2593</v>
      </c>
      <c r="C1068" t="s">
        <v>2594</v>
      </c>
      <c r="D1068" s="95">
        <f>Prices!$J$33</f>
        <v>231.9597989949749</v>
      </c>
      <c r="F1068">
        <v>130.13999999999999</v>
      </c>
      <c r="G1068" t="s">
        <v>2824</v>
      </c>
      <c r="H1068" t="s">
        <v>12</v>
      </c>
      <c r="I1068" t="s">
        <v>2594</v>
      </c>
      <c r="J1068" t="s">
        <v>1610</v>
      </c>
    </row>
    <row r="1069" spans="1:11">
      <c r="A1069" t="s">
        <v>181</v>
      </c>
      <c r="B1069" t="s">
        <v>182</v>
      </c>
      <c r="C1069" t="s">
        <v>183</v>
      </c>
      <c r="D1069" s="95">
        <f>Prices!$J$33</f>
        <v>231.9597989949749</v>
      </c>
      <c r="F1069">
        <v>0</v>
      </c>
      <c r="G1069" t="s">
        <v>184</v>
      </c>
      <c r="I1069" t="s">
        <v>183</v>
      </c>
      <c r="J1069" t="s">
        <v>13</v>
      </c>
    </row>
    <row r="1070" spans="1:11">
      <c r="A1070" t="s">
        <v>10</v>
      </c>
      <c r="B1070" t="s">
        <v>3861</v>
      </c>
      <c r="C1070" t="s">
        <v>3862</v>
      </c>
      <c r="D1070" s="95">
        <f>Prices!$J$33</f>
        <v>231.9597989949749</v>
      </c>
      <c r="F1070">
        <v>85.85</v>
      </c>
      <c r="G1070" t="s">
        <v>3863</v>
      </c>
      <c r="H1070" t="s">
        <v>12</v>
      </c>
      <c r="I1070" t="s">
        <v>3862</v>
      </c>
      <c r="J1070" t="s">
        <v>1610</v>
      </c>
    </row>
    <row r="1071" spans="1:11">
      <c r="A1071" t="s">
        <v>10</v>
      </c>
      <c r="B1071" t="s">
        <v>2767</v>
      </c>
      <c r="C1071" t="s">
        <v>2768</v>
      </c>
      <c r="D1071" s="95">
        <f>Prices!$J$33</f>
        <v>231.9597989949749</v>
      </c>
      <c r="F1071">
        <v>95.12</v>
      </c>
      <c r="G1071" t="s">
        <v>2769</v>
      </c>
      <c r="H1071" t="s">
        <v>12</v>
      </c>
      <c r="I1071" t="s">
        <v>2768</v>
      </c>
      <c r="J1071" t="s">
        <v>1610</v>
      </c>
    </row>
    <row r="1072" spans="1:11">
      <c r="A1072" t="s">
        <v>181</v>
      </c>
      <c r="B1072" t="s">
        <v>2829</v>
      </c>
      <c r="C1072" t="s">
        <v>2830</v>
      </c>
      <c r="D1072" s="95">
        <f>Prices!$J$33</f>
        <v>231.9597989949749</v>
      </c>
      <c r="F1072">
        <v>0</v>
      </c>
      <c r="G1072" t="s">
        <v>3385</v>
      </c>
      <c r="I1072" t="s">
        <v>2830</v>
      </c>
      <c r="J1072" t="s">
        <v>1610</v>
      </c>
    </row>
    <row r="1073" spans="1:11">
      <c r="A1073" t="s">
        <v>10</v>
      </c>
      <c r="B1073" t="s">
        <v>3734</v>
      </c>
      <c r="C1073" t="s">
        <v>3735</v>
      </c>
      <c r="D1073" s="95">
        <f>Prices!$J$33</f>
        <v>231.9597989949749</v>
      </c>
      <c r="F1073">
        <v>21.7</v>
      </c>
      <c r="G1073" t="s">
        <v>3736</v>
      </c>
      <c r="H1073" t="s">
        <v>12</v>
      </c>
      <c r="I1073" t="s">
        <v>3735</v>
      </c>
      <c r="J1073" t="s">
        <v>1610</v>
      </c>
    </row>
    <row r="1074" spans="1:11">
      <c r="A1074" t="s">
        <v>76</v>
      </c>
      <c r="B1074" t="s">
        <v>2498</v>
      </c>
      <c r="C1074" t="s">
        <v>2499</v>
      </c>
      <c r="D1074" s="95">
        <f>Prices!$J$33</f>
        <v>231.9597989949749</v>
      </c>
      <c r="F1074">
        <v>185.02</v>
      </c>
      <c r="G1074" t="s">
        <v>2500</v>
      </c>
      <c r="H1074" t="s">
        <v>12</v>
      </c>
      <c r="I1074" t="s">
        <v>2499</v>
      </c>
      <c r="J1074" t="s">
        <v>1610</v>
      </c>
    </row>
    <row r="1075" spans="1:11">
      <c r="A1075" t="s">
        <v>10</v>
      </c>
      <c r="B1075" t="s">
        <v>3181</v>
      </c>
      <c r="C1075" t="s">
        <v>3182</v>
      </c>
      <c r="D1075" s="95">
        <f>Prices!$J$33</f>
        <v>231.9597989949749</v>
      </c>
      <c r="F1075">
        <v>0</v>
      </c>
      <c r="G1075" t="s">
        <v>3183</v>
      </c>
      <c r="I1075" t="s">
        <v>3182</v>
      </c>
      <c r="J1075" t="s">
        <v>1610</v>
      </c>
    </row>
    <row r="1076" spans="1:11">
      <c r="A1076" t="s">
        <v>10</v>
      </c>
      <c r="B1076" t="s">
        <v>392</v>
      </c>
      <c r="C1076" t="s">
        <v>393</v>
      </c>
      <c r="D1076" s="95">
        <f>Prices!$J$33</f>
        <v>231.9597989949749</v>
      </c>
      <c r="F1076">
        <v>7.02</v>
      </c>
      <c r="G1076" t="s">
        <v>394</v>
      </c>
      <c r="H1076" t="s">
        <v>12</v>
      </c>
      <c r="I1076" t="s">
        <v>393</v>
      </c>
      <c r="J1076" t="s">
        <v>13</v>
      </c>
      <c r="K1076" t="s">
        <v>261</v>
      </c>
    </row>
    <row r="1077" spans="1:11">
      <c r="A1077" t="s">
        <v>10</v>
      </c>
      <c r="B1077" t="s">
        <v>429</v>
      </c>
      <c r="C1077" t="s">
        <v>430</v>
      </c>
      <c r="D1077" s="95">
        <f>Prices!$J$33</f>
        <v>231.9597989949749</v>
      </c>
      <c r="F1077">
        <v>30.35</v>
      </c>
      <c r="G1077" t="s">
        <v>431</v>
      </c>
      <c r="H1077" t="s">
        <v>12</v>
      </c>
      <c r="I1077" t="s">
        <v>430</v>
      </c>
      <c r="J1077" t="s">
        <v>13</v>
      </c>
      <c r="K1077" t="s">
        <v>261</v>
      </c>
    </row>
    <row r="1078" spans="1:11">
      <c r="A1078" t="s">
        <v>76</v>
      </c>
      <c r="B1078" t="s">
        <v>297</v>
      </c>
      <c r="C1078" t="s">
        <v>298</v>
      </c>
      <c r="D1078" s="95">
        <f>Prices!$J$33</f>
        <v>231.9597989949749</v>
      </c>
      <c r="F1078">
        <v>0</v>
      </c>
      <c r="G1078" t="s">
        <v>299</v>
      </c>
      <c r="I1078" t="s">
        <v>298</v>
      </c>
      <c r="J1078" t="s">
        <v>13</v>
      </c>
      <c r="K1078" t="s">
        <v>300</v>
      </c>
    </row>
    <row r="1079" spans="1:11">
      <c r="A1079" t="s">
        <v>76</v>
      </c>
      <c r="B1079" t="s">
        <v>2036</v>
      </c>
      <c r="C1079" t="s">
        <v>2037</v>
      </c>
      <c r="D1079" s="95">
        <f>Prices!$J$33</f>
        <v>231.9597989949749</v>
      </c>
      <c r="F1079">
        <v>14.75</v>
      </c>
      <c r="G1079" t="s">
        <v>2038</v>
      </c>
      <c r="H1079" t="s">
        <v>12</v>
      </c>
      <c r="I1079" t="s">
        <v>2037</v>
      </c>
      <c r="J1079" t="s">
        <v>1610</v>
      </c>
      <c r="K1079" t="s">
        <v>2039</v>
      </c>
    </row>
    <row r="1080" spans="1:11">
      <c r="A1080" t="s">
        <v>23</v>
      </c>
      <c r="B1080" t="s">
        <v>45</v>
      </c>
      <c r="C1080" t="s">
        <v>46</v>
      </c>
      <c r="D1080" s="95">
        <f>Prices!$J$33</f>
        <v>231.9597989949749</v>
      </c>
      <c r="F1080">
        <v>8.66</v>
      </c>
      <c r="G1080" t="s">
        <v>47</v>
      </c>
      <c r="H1080" t="s">
        <v>12</v>
      </c>
      <c r="I1080" t="s">
        <v>46</v>
      </c>
      <c r="J1080" t="s">
        <v>13</v>
      </c>
    </row>
    <row r="1081" spans="1:11">
      <c r="A1081" t="s">
        <v>76</v>
      </c>
      <c r="B1081" t="s">
        <v>1991</v>
      </c>
      <c r="C1081" t="s">
        <v>1992</v>
      </c>
      <c r="D1081" s="95">
        <f>Prices!$J$33</f>
        <v>231.9597989949749</v>
      </c>
      <c r="F1081">
        <v>160.93</v>
      </c>
      <c r="G1081" t="s">
        <v>1993</v>
      </c>
      <c r="H1081" t="s">
        <v>12</v>
      </c>
      <c r="I1081" t="s">
        <v>1992</v>
      </c>
      <c r="J1081" t="s">
        <v>1610</v>
      </c>
      <c r="K1081" t="s">
        <v>1994</v>
      </c>
    </row>
    <row r="1082" spans="1:11">
      <c r="A1082" t="s">
        <v>447</v>
      </c>
      <c r="B1082" t="s">
        <v>448</v>
      </c>
      <c r="C1082" t="s">
        <v>449</v>
      </c>
      <c r="D1082" s="95">
        <f>Prices!$J$33</f>
        <v>231.9597989949749</v>
      </c>
      <c r="F1082">
        <v>0</v>
      </c>
      <c r="G1082" t="s">
        <v>450</v>
      </c>
      <c r="I1082" t="s">
        <v>449</v>
      </c>
      <c r="J1082" t="s">
        <v>13</v>
      </c>
      <c r="K1082" t="s">
        <v>451</v>
      </c>
    </row>
    <row r="1083" spans="1:11">
      <c r="A1083" t="s">
        <v>76</v>
      </c>
      <c r="B1083" t="s">
        <v>1995</v>
      </c>
      <c r="C1083" t="s">
        <v>1996</v>
      </c>
      <c r="D1083" s="95">
        <f>Prices!$J$33</f>
        <v>231.9597989949749</v>
      </c>
      <c r="F1083">
        <v>0</v>
      </c>
      <c r="G1083" t="s">
        <v>1997</v>
      </c>
      <c r="I1083" t="s">
        <v>1996</v>
      </c>
      <c r="J1083" t="s">
        <v>1610</v>
      </c>
      <c r="K1083" t="s">
        <v>1998</v>
      </c>
    </row>
    <row r="1084" spans="1:11">
      <c r="A1084" t="s">
        <v>23</v>
      </c>
      <c r="B1084" t="s">
        <v>24</v>
      </c>
      <c r="C1084" t="s">
        <v>25</v>
      </c>
      <c r="D1084" s="95">
        <f>Prices!$J$33</f>
        <v>231.9597989949749</v>
      </c>
      <c r="F1084">
        <v>38.56</v>
      </c>
      <c r="G1084" t="s">
        <v>26</v>
      </c>
      <c r="H1084" t="s">
        <v>12</v>
      </c>
      <c r="I1084" t="s">
        <v>25</v>
      </c>
      <c r="J1084" t="s">
        <v>13</v>
      </c>
      <c r="K1084" t="s">
        <v>27</v>
      </c>
    </row>
    <row r="1085" spans="1:11">
      <c r="A1085" t="s">
        <v>76</v>
      </c>
      <c r="B1085" t="s">
        <v>2357</v>
      </c>
      <c r="C1085" t="s">
        <v>2358</v>
      </c>
      <c r="D1085" s="95">
        <f>Prices!$J$33</f>
        <v>231.9597989949749</v>
      </c>
      <c r="F1085">
        <v>99.45</v>
      </c>
      <c r="G1085" t="s">
        <v>2359</v>
      </c>
      <c r="H1085" t="s">
        <v>12</v>
      </c>
      <c r="I1085" t="s">
        <v>2358</v>
      </c>
      <c r="J1085" t="s">
        <v>1610</v>
      </c>
      <c r="K1085" t="s">
        <v>2360</v>
      </c>
    </row>
    <row r="1086" spans="1:11">
      <c r="A1086" t="s">
        <v>10</v>
      </c>
      <c r="B1086" t="s">
        <v>3462</v>
      </c>
      <c r="C1086" t="s">
        <v>3463</v>
      </c>
      <c r="D1086" s="95">
        <f>Prices!$J$33</f>
        <v>231.9597989949749</v>
      </c>
      <c r="F1086">
        <v>8.2200000000000006</v>
      </c>
      <c r="G1086" t="s">
        <v>3464</v>
      </c>
      <c r="H1086" t="s">
        <v>12</v>
      </c>
      <c r="I1086" t="s">
        <v>3463</v>
      </c>
      <c r="J1086" t="s">
        <v>1610</v>
      </c>
      <c r="K1086" t="s">
        <v>3465</v>
      </c>
    </row>
    <row r="1087" spans="1:11">
      <c r="A1087" t="s">
        <v>23</v>
      </c>
      <c r="B1087" t="s">
        <v>127</v>
      </c>
      <c r="C1087" t="s">
        <v>128</v>
      </c>
      <c r="D1087" s="95">
        <f>Prices!$J$33</f>
        <v>231.9597989949749</v>
      </c>
      <c r="F1087">
        <v>215.65</v>
      </c>
      <c r="G1087" t="s">
        <v>129</v>
      </c>
      <c r="H1087" t="s">
        <v>12</v>
      </c>
      <c r="I1087" t="s">
        <v>128</v>
      </c>
      <c r="J1087" t="s">
        <v>13</v>
      </c>
      <c r="K1087" t="s">
        <v>130</v>
      </c>
    </row>
    <row r="1088" spans="1:11">
      <c r="A1088" t="s">
        <v>23</v>
      </c>
      <c r="B1088" t="s">
        <v>4059</v>
      </c>
      <c r="C1088" t="s">
        <v>1999</v>
      </c>
      <c r="D1088" s="95">
        <f>Prices!$J$33</f>
        <v>231.9597989949749</v>
      </c>
      <c r="F1088">
        <v>28.8</v>
      </c>
      <c r="G1088" t="s">
        <v>4060</v>
      </c>
      <c r="H1088" t="s">
        <v>12</v>
      </c>
      <c r="I1088" t="s">
        <v>1999</v>
      </c>
      <c r="J1088" t="s">
        <v>1610</v>
      </c>
    </row>
    <row r="1089" spans="1:11">
      <c r="A1089" t="s">
        <v>76</v>
      </c>
      <c r="B1089" t="s">
        <v>748</v>
      </c>
      <c r="C1089" t="s">
        <v>749</v>
      </c>
      <c r="D1089" s="95">
        <f>Prices!$J$33</f>
        <v>231.9597989949749</v>
      </c>
      <c r="F1089">
        <v>0</v>
      </c>
      <c r="G1089" t="s">
        <v>750</v>
      </c>
      <c r="I1089" t="s">
        <v>749</v>
      </c>
      <c r="J1089" t="s">
        <v>13</v>
      </c>
      <c r="K1089" t="s">
        <v>751</v>
      </c>
    </row>
    <row r="1090" spans="1:11">
      <c r="A1090" t="s">
        <v>10</v>
      </c>
      <c r="B1090" t="s">
        <v>2464</v>
      </c>
      <c r="C1090" t="s">
        <v>2465</v>
      </c>
      <c r="D1090" s="95">
        <f>Prices!$J$33</f>
        <v>231.9597989949749</v>
      </c>
      <c r="F1090">
        <v>14.81</v>
      </c>
      <c r="G1090" t="s">
        <v>2466</v>
      </c>
      <c r="H1090" t="s">
        <v>12</v>
      </c>
      <c r="I1090" t="s">
        <v>2465</v>
      </c>
      <c r="J1090" t="s">
        <v>1610</v>
      </c>
    </row>
    <row r="1091" spans="1:11">
      <c r="A1091" t="s">
        <v>23</v>
      </c>
      <c r="B1091" t="s">
        <v>2504</v>
      </c>
      <c r="C1091" t="s">
        <v>2505</v>
      </c>
      <c r="D1091" s="95">
        <f>Prices!$J$33</f>
        <v>231.9597989949749</v>
      </c>
      <c r="F1091">
        <v>9.58</v>
      </c>
      <c r="G1091" t="s">
        <v>2506</v>
      </c>
      <c r="H1091" t="s">
        <v>12</v>
      </c>
      <c r="I1091" t="s">
        <v>2505</v>
      </c>
      <c r="J1091" t="s">
        <v>1610</v>
      </c>
      <c r="K1091" t="s">
        <v>2507</v>
      </c>
    </row>
    <row r="1092" spans="1:11">
      <c r="A1092" t="s">
        <v>10</v>
      </c>
      <c r="B1092" t="s">
        <v>53</v>
      </c>
      <c r="C1092" t="s">
        <v>54</v>
      </c>
      <c r="D1092" s="95">
        <f>Prices!$J$33</f>
        <v>231.9597989949749</v>
      </c>
      <c r="F1092">
        <v>30.53</v>
      </c>
      <c r="G1092" t="s">
        <v>55</v>
      </c>
      <c r="H1092" t="s">
        <v>12</v>
      </c>
      <c r="I1092" t="s">
        <v>54</v>
      </c>
      <c r="J1092" t="s">
        <v>13</v>
      </c>
      <c r="K1092" t="s">
        <v>56</v>
      </c>
    </row>
    <row r="1093" spans="1:11">
      <c r="A1093" t="s">
        <v>76</v>
      </c>
      <c r="B1093" t="s">
        <v>2337</v>
      </c>
      <c r="C1093" t="s">
        <v>2338</v>
      </c>
      <c r="D1093" s="95">
        <f>Prices!$J$33</f>
        <v>231.9597989949749</v>
      </c>
      <c r="F1093">
        <v>59.89</v>
      </c>
      <c r="G1093" t="s">
        <v>2339</v>
      </c>
      <c r="H1093" t="s">
        <v>12</v>
      </c>
      <c r="I1093" t="s">
        <v>2338</v>
      </c>
      <c r="J1093" t="s">
        <v>1610</v>
      </c>
      <c r="K1093" t="s">
        <v>2340</v>
      </c>
    </row>
    <row r="1094" spans="1:11">
      <c r="A1094" t="s">
        <v>10</v>
      </c>
      <c r="B1094" t="s">
        <v>1608</v>
      </c>
      <c r="C1094" t="s">
        <v>1609</v>
      </c>
      <c r="D1094" s="95">
        <f>Prices!$J$33</f>
        <v>231.9597989949749</v>
      </c>
      <c r="F1094">
        <v>5.91</v>
      </c>
      <c r="G1094" t="s">
        <v>2765</v>
      </c>
      <c r="H1094" t="s">
        <v>12</v>
      </c>
      <c r="I1094" t="s">
        <v>1609</v>
      </c>
      <c r="J1094" t="s">
        <v>1610</v>
      </c>
      <c r="K1094" t="s">
        <v>2766</v>
      </c>
    </row>
    <row r="1095" spans="1:11">
      <c r="A1095" t="s">
        <v>10</v>
      </c>
      <c r="B1095" t="s">
        <v>198</v>
      </c>
      <c r="C1095" t="s">
        <v>199</v>
      </c>
      <c r="D1095" s="95">
        <f>Prices!$J$33</f>
        <v>231.9597989949749</v>
      </c>
      <c r="F1095">
        <v>35.75</v>
      </c>
      <c r="G1095" t="s">
        <v>200</v>
      </c>
      <c r="H1095" t="s">
        <v>12</v>
      </c>
      <c r="I1095" t="s">
        <v>199</v>
      </c>
      <c r="J1095" t="s">
        <v>13</v>
      </c>
      <c r="K1095" t="s">
        <v>201</v>
      </c>
    </row>
    <row r="1096" spans="1:11">
      <c r="A1096" t="s">
        <v>395</v>
      </c>
      <c r="B1096" t="s">
        <v>3926</v>
      </c>
      <c r="C1096" t="s">
        <v>2204</v>
      </c>
      <c r="D1096" s="95">
        <f>Prices!$J$33</f>
        <v>231.9597989949749</v>
      </c>
      <c r="F1096">
        <v>1.43</v>
      </c>
      <c r="G1096" t="s">
        <v>4114</v>
      </c>
      <c r="H1096" t="s">
        <v>12</v>
      </c>
      <c r="I1096" t="s">
        <v>2204</v>
      </c>
      <c r="J1096" t="s">
        <v>1610</v>
      </c>
    </row>
    <row r="1097" spans="1:11">
      <c r="A1097" t="s">
        <v>23</v>
      </c>
      <c r="B1097" t="s">
        <v>3851</v>
      </c>
      <c r="C1097" t="s">
        <v>1611</v>
      </c>
      <c r="D1097" s="95">
        <f>Prices!$J$33</f>
        <v>231.9597989949749</v>
      </c>
      <c r="F1097">
        <v>23.2</v>
      </c>
      <c r="G1097" t="s">
        <v>3832</v>
      </c>
      <c r="H1097" t="s">
        <v>12</v>
      </c>
      <c r="I1097" t="s">
        <v>1611</v>
      </c>
      <c r="J1097" t="s">
        <v>1610</v>
      </c>
    </row>
    <row r="1098" spans="1:11">
      <c r="A1098" t="s">
        <v>10</v>
      </c>
      <c r="B1098" t="s">
        <v>712</v>
      </c>
      <c r="C1098" t="s">
        <v>713</v>
      </c>
      <c r="D1098" s="95">
        <f>Prices!$J$33</f>
        <v>231.9597989949749</v>
      </c>
      <c r="F1098">
        <v>4.62</v>
      </c>
      <c r="G1098" t="s">
        <v>842</v>
      </c>
      <c r="H1098" t="s">
        <v>12</v>
      </c>
      <c r="I1098" t="s">
        <v>713</v>
      </c>
      <c r="J1098" t="s">
        <v>13</v>
      </c>
      <c r="K1098" t="s">
        <v>843</v>
      </c>
    </row>
    <row r="1099" spans="1:11">
      <c r="A1099" t="s">
        <v>76</v>
      </c>
      <c r="B1099" t="s">
        <v>1612</v>
      </c>
      <c r="C1099" t="s">
        <v>1613</v>
      </c>
      <c r="D1099" s="95">
        <f>Prices!$J$33</f>
        <v>231.9597989949749</v>
      </c>
      <c r="F1099">
        <v>139.77000000000001</v>
      </c>
      <c r="G1099" t="s">
        <v>1614</v>
      </c>
      <c r="H1099" t="s">
        <v>12</v>
      </c>
      <c r="I1099" t="s">
        <v>1613</v>
      </c>
      <c r="J1099" t="s">
        <v>1610</v>
      </c>
      <c r="K1099" t="s">
        <v>1615</v>
      </c>
    </row>
    <row r="1100" spans="1:11">
      <c r="A1100" t="s">
        <v>76</v>
      </c>
      <c r="B1100" t="s">
        <v>239</v>
      </c>
      <c r="C1100" t="s">
        <v>240</v>
      </c>
      <c r="D1100" s="95">
        <f>Prices!$J$33</f>
        <v>231.9597989949749</v>
      </c>
      <c r="F1100">
        <v>213.42</v>
      </c>
      <c r="G1100" t="s">
        <v>241</v>
      </c>
      <c r="H1100" t="s">
        <v>12</v>
      </c>
      <c r="I1100" t="s">
        <v>240</v>
      </c>
      <c r="J1100" t="s">
        <v>13</v>
      </c>
      <c r="K1100" t="s">
        <v>242</v>
      </c>
    </row>
    <row r="1101" spans="1:11">
      <c r="A1101" t="s">
        <v>23</v>
      </c>
      <c r="B1101" t="s">
        <v>4190</v>
      </c>
      <c r="C1101" t="s">
        <v>4191</v>
      </c>
      <c r="D1101" s="95">
        <f>Prices!$J$33</f>
        <v>231.9597989949749</v>
      </c>
      <c r="F1101">
        <v>347.64</v>
      </c>
      <c r="G1101" t="s">
        <v>4265</v>
      </c>
      <c r="H1101" t="s">
        <v>12</v>
      </c>
      <c r="I1101" t="s">
        <v>4191</v>
      </c>
      <c r="J1101" t="s">
        <v>1610</v>
      </c>
      <c r="K1101" t="s">
        <v>4266</v>
      </c>
    </row>
    <row r="1102" spans="1:11">
      <c r="A1102" t="s">
        <v>254</v>
      </c>
      <c r="B1102" t="s">
        <v>4126</v>
      </c>
      <c r="C1102" t="s">
        <v>1616</v>
      </c>
      <c r="D1102" s="95">
        <f>Prices!$J$33</f>
        <v>231.9597989949749</v>
      </c>
      <c r="F1102">
        <v>85.64</v>
      </c>
      <c r="G1102" t="s">
        <v>4127</v>
      </c>
      <c r="H1102" t="s">
        <v>12</v>
      </c>
      <c r="I1102" t="s">
        <v>1616</v>
      </c>
      <c r="J1102" t="s">
        <v>1610</v>
      </c>
    </row>
    <row r="1103" spans="1:11">
      <c r="A1103" t="s">
        <v>76</v>
      </c>
      <c r="B1103" t="s">
        <v>722</v>
      </c>
      <c r="C1103" t="s">
        <v>723</v>
      </c>
      <c r="D1103" s="95">
        <f>Prices!$J$33</f>
        <v>231.9597989949749</v>
      </c>
      <c r="F1103">
        <v>371.86</v>
      </c>
      <c r="G1103" t="s">
        <v>800</v>
      </c>
      <c r="H1103" t="s">
        <v>12</v>
      </c>
      <c r="I1103" t="s">
        <v>723</v>
      </c>
      <c r="J1103" t="s">
        <v>13</v>
      </c>
      <c r="K1103" t="s">
        <v>801</v>
      </c>
    </row>
    <row r="1104" spans="1:11">
      <c r="A1104" t="s">
        <v>10</v>
      </c>
      <c r="B1104" t="s">
        <v>3895</v>
      </c>
      <c r="C1104" t="s">
        <v>3896</v>
      </c>
      <c r="D1104" s="95">
        <f>Prices!$J$33</f>
        <v>231.9597989949749</v>
      </c>
      <c r="F1104">
        <v>0.68</v>
      </c>
      <c r="G1104" t="s">
        <v>3897</v>
      </c>
      <c r="H1104" t="s">
        <v>12</v>
      </c>
      <c r="I1104" t="s">
        <v>3896</v>
      </c>
      <c r="J1104" t="s">
        <v>1610</v>
      </c>
      <c r="K1104" t="s">
        <v>3898</v>
      </c>
    </row>
    <row r="1105" spans="1:11">
      <c r="A1105" t="s">
        <v>23</v>
      </c>
      <c r="B1105" t="s">
        <v>2853</v>
      </c>
      <c r="C1105" t="s">
        <v>2854</v>
      </c>
      <c r="D1105" s="95">
        <f>Prices!$J$33</f>
        <v>231.9597989949749</v>
      </c>
      <c r="F1105">
        <v>425.37</v>
      </c>
      <c r="G1105" t="s">
        <v>3457</v>
      </c>
      <c r="H1105" t="s">
        <v>12</v>
      </c>
      <c r="I1105" t="s">
        <v>2854</v>
      </c>
      <c r="J1105" t="s">
        <v>1610</v>
      </c>
    </row>
    <row r="1106" spans="1:11">
      <c r="A1106" t="s">
        <v>23</v>
      </c>
      <c r="B1106" t="s">
        <v>4103</v>
      </c>
      <c r="C1106" t="s">
        <v>1617</v>
      </c>
      <c r="D1106" s="95">
        <f>Prices!$J$33</f>
        <v>231.9597989949749</v>
      </c>
      <c r="F1106">
        <v>0.01</v>
      </c>
      <c r="G1106" t="s">
        <v>4104</v>
      </c>
      <c r="H1106" t="s">
        <v>308</v>
      </c>
      <c r="I1106" t="s">
        <v>1617</v>
      </c>
      <c r="J1106" t="s">
        <v>1610</v>
      </c>
    </row>
    <row r="1107" spans="1:11">
      <c r="A1107" t="s">
        <v>76</v>
      </c>
      <c r="B1107" t="s">
        <v>732</v>
      </c>
      <c r="C1107" t="s">
        <v>733</v>
      </c>
      <c r="D1107" s="95">
        <f>Prices!$J$33</f>
        <v>231.9597989949749</v>
      </c>
      <c r="F1107">
        <v>654.12</v>
      </c>
      <c r="G1107" t="s">
        <v>734</v>
      </c>
      <c r="H1107" t="s">
        <v>12</v>
      </c>
      <c r="I1107" t="s">
        <v>733</v>
      </c>
      <c r="J1107" t="s">
        <v>13</v>
      </c>
      <c r="K1107" t="s">
        <v>735</v>
      </c>
    </row>
    <row r="1108" spans="1:11">
      <c r="A1108" t="s">
        <v>23</v>
      </c>
      <c r="B1108" t="s">
        <v>2492</v>
      </c>
      <c r="C1108" t="s">
        <v>2493</v>
      </c>
      <c r="D1108" s="95">
        <f>Prices!$J$33</f>
        <v>231.9597989949749</v>
      </c>
      <c r="F1108">
        <v>9.51</v>
      </c>
      <c r="G1108" t="s">
        <v>2494</v>
      </c>
      <c r="H1108" t="s">
        <v>12</v>
      </c>
      <c r="I1108" t="s">
        <v>2493</v>
      </c>
      <c r="J1108" t="s">
        <v>1610</v>
      </c>
    </row>
    <row r="1109" spans="1:11">
      <c r="A1109" t="s">
        <v>23</v>
      </c>
      <c r="B1109" t="s">
        <v>2440</v>
      </c>
      <c r="C1109" t="s">
        <v>1618</v>
      </c>
      <c r="D1109" s="95">
        <f>Prices!$J$33</f>
        <v>231.9597989949749</v>
      </c>
      <c r="F1109">
        <v>113.13</v>
      </c>
      <c r="G1109" t="s">
        <v>2441</v>
      </c>
      <c r="H1109" t="s">
        <v>825</v>
      </c>
      <c r="I1109" t="s">
        <v>1618</v>
      </c>
      <c r="J1109" t="s">
        <v>1610</v>
      </c>
    </row>
    <row r="1110" spans="1:11">
      <c r="A1110" t="s">
        <v>76</v>
      </c>
      <c r="B1110" t="s">
        <v>708</v>
      </c>
      <c r="C1110" t="s">
        <v>709</v>
      </c>
      <c r="D1110" s="95">
        <f>Prices!$J$33</f>
        <v>231.9597989949749</v>
      </c>
      <c r="F1110">
        <v>813.29</v>
      </c>
      <c r="G1110" t="s">
        <v>710</v>
      </c>
      <c r="H1110" t="s">
        <v>12</v>
      </c>
      <c r="I1110" t="s">
        <v>709</v>
      </c>
      <c r="J1110" t="s">
        <v>13</v>
      </c>
      <c r="K1110" t="s">
        <v>711</v>
      </c>
    </row>
    <row r="1111" spans="1:11">
      <c r="A1111" t="s">
        <v>10</v>
      </c>
      <c r="B1111" t="s">
        <v>4049</v>
      </c>
      <c r="C1111" t="s">
        <v>4050</v>
      </c>
      <c r="D1111" s="95">
        <f>Prices!$J$33</f>
        <v>231.9597989949749</v>
      </c>
      <c r="F1111">
        <v>9.5299999999999994</v>
      </c>
      <c r="G1111" t="s">
        <v>4051</v>
      </c>
      <c r="H1111" t="s">
        <v>12</v>
      </c>
      <c r="I1111" t="s">
        <v>4050</v>
      </c>
      <c r="J1111" t="s">
        <v>1610</v>
      </c>
    </row>
    <row r="1112" spans="1:11">
      <c r="A1112" t="s">
        <v>76</v>
      </c>
      <c r="B1112" t="s">
        <v>2250</v>
      </c>
      <c r="C1112" t="s">
        <v>2251</v>
      </c>
      <c r="D1112" s="95">
        <f>Prices!$J$33</f>
        <v>231.9597989949749</v>
      </c>
      <c r="F1112">
        <v>4</v>
      </c>
      <c r="G1112" t="s">
        <v>2252</v>
      </c>
      <c r="H1112" t="s">
        <v>12</v>
      </c>
      <c r="I1112" t="s">
        <v>2251</v>
      </c>
      <c r="J1112" t="s">
        <v>1610</v>
      </c>
      <c r="K1112" t="s">
        <v>2253</v>
      </c>
    </row>
    <row r="1113" spans="1:11">
      <c r="A1113" t="s">
        <v>76</v>
      </c>
      <c r="B1113" t="s">
        <v>499</v>
      </c>
      <c r="C1113" t="s">
        <v>500</v>
      </c>
      <c r="D1113" s="95">
        <f>Prices!$J$33</f>
        <v>231.9597989949749</v>
      </c>
      <c r="F1113">
        <v>0</v>
      </c>
      <c r="G1113" t="s">
        <v>501</v>
      </c>
      <c r="I1113" t="s">
        <v>500</v>
      </c>
      <c r="J1113" t="s">
        <v>13</v>
      </c>
      <c r="K1113" t="s">
        <v>502</v>
      </c>
    </row>
    <row r="1114" spans="1:11">
      <c r="A1114" t="s">
        <v>395</v>
      </c>
      <c r="B1114" t="s">
        <v>2541</v>
      </c>
      <c r="C1114" t="s">
        <v>2256</v>
      </c>
      <c r="D1114" s="95">
        <f>Prices!$J$33</f>
        <v>231.9597989949749</v>
      </c>
      <c r="F1114">
        <v>82.91</v>
      </c>
      <c r="G1114" t="s">
        <v>3503</v>
      </c>
      <c r="H1114" t="s">
        <v>12</v>
      </c>
      <c r="I1114" t="s">
        <v>2256</v>
      </c>
      <c r="J1114" t="s">
        <v>1610</v>
      </c>
      <c r="K1114" t="s">
        <v>3504</v>
      </c>
    </row>
    <row r="1115" spans="1:11">
      <c r="A1115" t="s">
        <v>23</v>
      </c>
      <c r="B1115" t="s">
        <v>3747</v>
      </c>
      <c r="C1115" t="s">
        <v>1619</v>
      </c>
      <c r="D1115" s="95">
        <f>Prices!$J$33</f>
        <v>231.9597989949749</v>
      </c>
      <c r="F1115">
        <v>124.75</v>
      </c>
      <c r="G1115" t="s">
        <v>3748</v>
      </c>
      <c r="H1115" t="s">
        <v>12</v>
      </c>
      <c r="I1115" t="s">
        <v>1619</v>
      </c>
      <c r="J1115" t="s">
        <v>1610</v>
      </c>
    </row>
    <row r="1116" spans="1:11">
      <c r="A1116" t="s">
        <v>23</v>
      </c>
      <c r="B1116" t="s">
        <v>247</v>
      </c>
      <c r="C1116" t="s">
        <v>248</v>
      </c>
      <c r="D1116" s="95">
        <f>Prices!$J$33</f>
        <v>231.9597989949749</v>
      </c>
      <c r="F1116">
        <v>188.01</v>
      </c>
      <c r="G1116" t="s">
        <v>249</v>
      </c>
      <c r="H1116" t="s">
        <v>12</v>
      </c>
      <c r="I1116" t="s">
        <v>248</v>
      </c>
      <c r="J1116" t="s">
        <v>13</v>
      </c>
    </row>
    <row r="1117" spans="1:11">
      <c r="A1117" t="s">
        <v>10</v>
      </c>
      <c r="B1117" t="s">
        <v>2255</v>
      </c>
      <c r="C1117" t="s">
        <v>2746</v>
      </c>
      <c r="D1117" s="95">
        <f>Prices!$J$33</f>
        <v>231.9597989949749</v>
      </c>
      <c r="F1117">
        <v>3.54</v>
      </c>
      <c r="G1117" t="s">
        <v>2747</v>
      </c>
      <c r="H1117" t="s">
        <v>12</v>
      </c>
      <c r="I1117" t="s">
        <v>2746</v>
      </c>
      <c r="J1117" t="s">
        <v>1610</v>
      </c>
      <c r="K1117" t="s">
        <v>2748</v>
      </c>
    </row>
    <row r="1118" spans="1:11">
      <c r="A1118" t="s">
        <v>76</v>
      </c>
      <c r="B1118" t="s">
        <v>3054</v>
      </c>
      <c r="C1118" t="s">
        <v>3055</v>
      </c>
      <c r="D1118" s="95">
        <f>Prices!$J$33</f>
        <v>231.9597989949749</v>
      </c>
      <c r="F1118">
        <v>0</v>
      </c>
      <c r="G1118" t="s">
        <v>3056</v>
      </c>
      <c r="I1118" t="s">
        <v>3055</v>
      </c>
      <c r="J1118" t="s">
        <v>1610</v>
      </c>
      <c r="K1118" t="s">
        <v>3057</v>
      </c>
    </row>
    <row r="1119" spans="1:11">
      <c r="A1119" t="s">
        <v>76</v>
      </c>
      <c r="B1119" t="s">
        <v>120</v>
      </c>
      <c r="C1119" t="s">
        <v>121</v>
      </c>
      <c r="D1119" s="95">
        <f>Prices!$J$33</f>
        <v>231.9597989949749</v>
      </c>
      <c r="F1119">
        <v>0</v>
      </c>
      <c r="G1119" t="s">
        <v>122</v>
      </c>
      <c r="I1119" t="s">
        <v>121</v>
      </c>
      <c r="J1119" t="s">
        <v>13</v>
      </c>
      <c r="K1119" t="s">
        <v>123</v>
      </c>
    </row>
    <row r="1120" spans="1:11">
      <c r="A1120" t="s">
        <v>23</v>
      </c>
      <c r="B1120" t="s">
        <v>4282</v>
      </c>
      <c r="C1120" t="s">
        <v>2254</v>
      </c>
      <c r="D1120" s="95">
        <f>Prices!$J$33</f>
        <v>231.9597989949749</v>
      </c>
      <c r="F1120">
        <v>26.05</v>
      </c>
      <c r="G1120" t="s">
        <v>4283</v>
      </c>
      <c r="H1120" t="s">
        <v>12</v>
      </c>
      <c r="I1120" t="s">
        <v>2254</v>
      </c>
      <c r="J1120" t="s">
        <v>1610</v>
      </c>
    </row>
    <row r="1121" spans="1:11">
      <c r="A1121" t="s">
        <v>23</v>
      </c>
      <c r="B1121" t="s">
        <v>3868</v>
      </c>
      <c r="C1121" t="s">
        <v>1620</v>
      </c>
      <c r="D1121" s="95">
        <f>Prices!$J$33</f>
        <v>231.9597989949749</v>
      </c>
      <c r="F1121">
        <v>74.64</v>
      </c>
      <c r="G1121" t="s">
        <v>3869</v>
      </c>
      <c r="H1121" t="s">
        <v>12</v>
      </c>
      <c r="I1121" t="s">
        <v>1620</v>
      </c>
      <c r="J1121" t="s">
        <v>1610</v>
      </c>
    </row>
    <row r="1122" spans="1:11">
      <c r="A1122" t="s">
        <v>76</v>
      </c>
      <c r="B1122" t="s">
        <v>740</v>
      </c>
      <c r="C1122" t="s">
        <v>741</v>
      </c>
      <c r="D1122" s="95">
        <f>Prices!$J$33</f>
        <v>231.9597989949749</v>
      </c>
      <c r="F1122">
        <v>0.85</v>
      </c>
      <c r="G1122" t="s">
        <v>742</v>
      </c>
      <c r="H1122" t="s">
        <v>12</v>
      </c>
      <c r="I1122" t="s">
        <v>741</v>
      </c>
      <c r="J1122" t="s">
        <v>13</v>
      </c>
      <c r="K1122" t="s">
        <v>743</v>
      </c>
    </row>
    <row r="1123" spans="1:11">
      <c r="A1123" t="s">
        <v>23</v>
      </c>
      <c r="B1123" t="s">
        <v>4291</v>
      </c>
      <c r="C1123" t="s">
        <v>1621</v>
      </c>
      <c r="D1123" s="95">
        <f>Prices!$J$33</f>
        <v>231.9597989949749</v>
      </c>
      <c r="F1123">
        <v>145.88</v>
      </c>
      <c r="G1123" t="s">
        <v>4292</v>
      </c>
      <c r="H1123" t="s">
        <v>12</v>
      </c>
      <c r="I1123" t="s">
        <v>1621</v>
      </c>
      <c r="J1123" t="s">
        <v>1610</v>
      </c>
    </row>
    <row r="1124" spans="1:11">
      <c r="A1124" t="s">
        <v>76</v>
      </c>
      <c r="B1124" t="s">
        <v>744</v>
      </c>
      <c r="C1124" t="s">
        <v>745</v>
      </c>
      <c r="D1124" s="95">
        <f>Prices!$J$33</f>
        <v>231.9597989949749</v>
      </c>
      <c r="F1124">
        <v>0.93</v>
      </c>
      <c r="G1124" t="s">
        <v>746</v>
      </c>
      <c r="H1124" t="s">
        <v>12</v>
      </c>
      <c r="I1124" t="s">
        <v>745</v>
      </c>
      <c r="J1124" t="s">
        <v>13</v>
      </c>
      <c r="K1124" t="s">
        <v>747</v>
      </c>
    </row>
    <row r="1125" spans="1:11">
      <c r="A1125" t="s">
        <v>76</v>
      </c>
      <c r="B1125" t="s">
        <v>3143</v>
      </c>
      <c r="C1125" t="s">
        <v>3144</v>
      </c>
      <c r="D1125" s="95">
        <f>Prices!$J$33</f>
        <v>231.9597989949749</v>
      </c>
      <c r="F1125">
        <v>0</v>
      </c>
      <c r="G1125" t="s">
        <v>3145</v>
      </c>
      <c r="I1125" t="s">
        <v>3144</v>
      </c>
      <c r="J1125" t="s">
        <v>1610</v>
      </c>
      <c r="K1125" t="s">
        <v>3146</v>
      </c>
    </row>
    <row r="1126" spans="1:11">
      <c r="A1126" t="s">
        <v>23</v>
      </c>
      <c r="B1126" t="s">
        <v>3913</v>
      </c>
      <c r="C1126" t="s">
        <v>1622</v>
      </c>
      <c r="D1126" s="95">
        <f>Prices!$J$33</f>
        <v>231.9597989949749</v>
      </c>
      <c r="F1126">
        <v>20.23</v>
      </c>
      <c r="G1126" t="s">
        <v>3914</v>
      </c>
      <c r="H1126" t="s">
        <v>12</v>
      </c>
      <c r="I1126" t="s">
        <v>1622</v>
      </c>
      <c r="J1126" t="s">
        <v>1610</v>
      </c>
    </row>
    <row r="1127" spans="1:11">
      <c r="A1127" t="s">
        <v>76</v>
      </c>
      <c r="B1127" t="s">
        <v>555</v>
      </c>
      <c r="C1127" t="s">
        <v>556</v>
      </c>
      <c r="D1127" s="95">
        <f>Prices!$J$33</f>
        <v>231.9597989949749</v>
      </c>
      <c r="F1127">
        <v>0</v>
      </c>
      <c r="G1127" t="s">
        <v>557</v>
      </c>
      <c r="I1127" t="s">
        <v>556</v>
      </c>
      <c r="J1127" t="s">
        <v>13</v>
      </c>
      <c r="K1127" t="s">
        <v>558</v>
      </c>
    </row>
    <row r="1128" spans="1:11">
      <c r="A1128" t="s">
        <v>10</v>
      </c>
      <c r="B1128" t="s">
        <v>29</v>
      </c>
      <c r="C1128" t="s">
        <v>30</v>
      </c>
      <c r="D1128" s="95">
        <f>Prices!$J$33</f>
        <v>231.9597989949749</v>
      </c>
      <c r="F1128">
        <v>141.18</v>
      </c>
      <c r="G1128" t="s">
        <v>31</v>
      </c>
      <c r="H1128" t="s">
        <v>12</v>
      </c>
      <c r="I1128" t="s">
        <v>30</v>
      </c>
      <c r="J1128" t="s">
        <v>13</v>
      </c>
    </row>
    <row r="1129" spans="1:11">
      <c r="A1129" t="s">
        <v>76</v>
      </c>
      <c r="B1129" t="s">
        <v>3349</v>
      </c>
      <c r="C1129" t="s">
        <v>3350</v>
      </c>
      <c r="D1129" s="95">
        <f>Prices!$J$33</f>
        <v>231.9597989949749</v>
      </c>
      <c r="F1129">
        <v>0</v>
      </c>
      <c r="G1129" t="s">
        <v>3351</v>
      </c>
      <c r="I1129" t="s">
        <v>3350</v>
      </c>
      <c r="J1129" t="s">
        <v>1610</v>
      </c>
      <c r="K1129" t="s">
        <v>3352</v>
      </c>
    </row>
    <row r="1130" spans="1:11">
      <c r="A1130" t="s">
        <v>76</v>
      </c>
      <c r="B1130" t="s">
        <v>321</v>
      </c>
      <c r="C1130" t="s">
        <v>322</v>
      </c>
      <c r="D1130" s="95">
        <f>Prices!$J$33</f>
        <v>231.9597989949749</v>
      </c>
      <c r="F1130">
        <v>0</v>
      </c>
      <c r="G1130" t="s">
        <v>323</v>
      </c>
      <c r="I1130" t="s">
        <v>322</v>
      </c>
      <c r="J1130" t="s">
        <v>13</v>
      </c>
      <c r="K1130" t="s">
        <v>324</v>
      </c>
    </row>
    <row r="1131" spans="1:11">
      <c r="A1131" t="s">
        <v>10</v>
      </c>
      <c r="B1131" t="s">
        <v>32</v>
      </c>
      <c r="C1131" t="s">
        <v>33</v>
      </c>
      <c r="D1131" s="95">
        <f>Prices!$J$33</f>
        <v>231.9597989949749</v>
      </c>
      <c r="F1131">
        <v>30.82</v>
      </c>
      <c r="G1131" t="s">
        <v>34</v>
      </c>
      <c r="H1131" t="s">
        <v>12</v>
      </c>
      <c r="I1131" t="s">
        <v>33</v>
      </c>
      <c r="J1131" t="s">
        <v>13</v>
      </c>
    </row>
    <row r="1132" spans="1:11">
      <c r="A1132" t="s">
        <v>10</v>
      </c>
      <c r="B1132" t="s">
        <v>258</v>
      </c>
      <c r="C1132" t="s">
        <v>259</v>
      </c>
      <c r="D1132" s="95">
        <f>Prices!$J$33</f>
        <v>231.9597989949749</v>
      </c>
      <c r="F1132">
        <v>108.68</v>
      </c>
      <c r="G1132" t="s">
        <v>260</v>
      </c>
      <c r="H1132" t="s">
        <v>12</v>
      </c>
      <c r="I1132" t="s">
        <v>259</v>
      </c>
      <c r="J1132" t="s">
        <v>13</v>
      </c>
      <c r="K1132" t="s">
        <v>261</v>
      </c>
    </row>
    <row r="1133" spans="1:11">
      <c r="A1133" t="s">
        <v>76</v>
      </c>
      <c r="B1133" t="s">
        <v>2446</v>
      </c>
      <c r="C1133" t="s">
        <v>2447</v>
      </c>
      <c r="D1133" s="96">
        <f>Prices!$G$85</f>
        <v>231.2092403554291</v>
      </c>
      <c r="F1133">
        <v>27.33</v>
      </c>
      <c r="G1133" t="s">
        <v>2448</v>
      </c>
      <c r="H1133" t="s">
        <v>12</v>
      </c>
      <c r="I1133" t="s">
        <v>2447</v>
      </c>
      <c r="J1133" t="s">
        <v>1610</v>
      </c>
      <c r="K1133" t="s">
        <v>2449</v>
      </c>
    </row>
    <row r="1134" spans="1:11">
      <c r="A1134" t="s">
        <v>76</v>
      </c>
      <c r="B1134" t="s">
        <v>2489</v>
      </c>
      <c r="C1134" t="s">
        <v>2490</v>
      </c>
      <c r="D1134" s="96">
        <f>Prices!$G$85</f>
        <v>231.2092403554291</v>
      </c>
      <c r="F1134">
        <v>57.59</v>
      </c>
      <c r="G1134" t="s">
        <v>2491</v>
      </c>
      <c r="H1134" t="s">
        <v>12</v>
      </c>
      <c r="I1134" t="s">
        <v>2490</v>
      </c>
      <c r="J1134" t="s">
        <v>1610</v>
      </c>
      <c r="K1134" t="s">
        <v>2431</v>
      </c>
    </row>
    <row r="1135" spans="1:11">
      <c r="A1135" t="s">
        <v>39</v>
      </c>
      <c r="B1135" t="s">
        <v>3906</v>
      </c>
      <c r="C1135" t="s">
        <v>3907</v>
      </c>
      <c r="D1135" s="96">
        <f>Prices!$G$85</f>
        <v>231.2092403554291</v>
      </c>
      <c r="F1135">
        <v>20.18</v>
      </c>
      <c r="G1135" t="s">
        <v>4115</v>
      </c>
      <c r="H1135" t="s">
        <v>12</v>
      </c>
      <c r="I1135" t="s">
        <v>3907</v>
      </c>
      <c r="J1135" t="s">
        <v>1610</v>
      </c>
      <c r="K1135" t="s">
        <v>4116</v>
      </c>
    </row>
    <row r="1136" spans="1:11">
      <c r="A1136" t="s">
        <v>76</v>
      </c>
      <c r="B1136" t="s">
        <v>2403</v>
      </c>
      <c r="C1136" t="s">
        <v>2404</v>
      </c>
      <c r="D1136" s="96">
        <f>Prices!$G$85</f>
        <v>231.2092403554291</v>
      </c>
      <c r="F1136">
        <v>8.4</v>
      </c>
      <c r="G1136" t="s">
        <v>2405</v>
      </c>
      <c r="H1136" t="s">
        <v>12</v>
      </c>
      <c r="I1136" t="s">
        <v>2404</v>
      </c>
      <c r="J1136" t="s">
        <v>1610</v>
      </c>
      <c r="K1136" t="s">
        <v>2298</v>
      </c>
    </row>
    <row r="1137" spans="1:11">
      <c r="A1137" t="s">
        <v>76</v>
      </c>
      <c r="B1137" t="s">
        <v>3725</v>
      </c>
      <c r="C1137" t="s">
        <v>3726</v>
      </c>
      <c r="D1137" s="96">
        <f>Prices!$G$85</f>
        <v>231.2092403554291</v>
      </c>
      <c r="F1137">
        <v>64.75</v>
      </c>
      <c r="G1137" t="s">
        <v>3727</v>
      </c>
      <c r="H1137" t="s">
        <v>12</v>
      </c>
      <c r="I1137" t="s">
        <v>3726</v>
      </c>
      <c r="J1137" t="s">
        <v>1610</v>
      </c>
    </row>
    <row r="1138" spans="1:11">
      <c r="A1138" t="s">
        <v>76</v>
      </c>
      <c r="B1138" t="s">
        <v>3333</v>
      </c>
      <c r="C1138" t="s">
        <v>3334</v>
      </c>
      <c r="D1138" s="95">
        <f>Prices!$J$35</f>
        <v>233.13131313131314</v>
      </c>
      <c r="F1138">
        <v>0</v>
      </c>
      <c r="G1138" t="s">
        <v>3335</v>
      </c>
      <c r="I1138" t="s">
        <v>3334</v>
      </c>
      <c r="J1138" t="s">
        <v>1610</v>
      </c>
      <c r="K1138" t="s">
        <v>3336</v>
      </c>
    </row>
    <row r="1139" spans="1:11">
      <c r="A1139" t="s">
        <v>76</v>
      </c>
      <c r="B1139" t="s">
        <v>2316</v>
      </c>
      <c r="C1139" t="s">
        <v>2317</v>
      </c>
      <c r="D1139" s="95">
        <f>Prices!$J$35</f>
        <v>233.13131313131314</v>
      </c>
      <c r="F1139">
        <v>0.16</v>
      </c>
      <c r="G1139" t="s">
        <v>2318</v>
      </c>
      <c r="H1139" t="s">
        <v>12</v>
      </c>
      <c r="I1139" t="s">
        <v>2317</v>
      </c>
      <c r="J1139" t="s">
        <v>1610</v>
      </c>
      <c r="K1139" t="s">
        <v>2319</v>
      </c>
    </row>
    <row r="1140" spans="1:11">
      <c r="A1140" t="s">
        <v>10</v>
      </c>
      <c r="B1140" t="s">
        <v>4323</v>
      </c>
      <c r="C1140" t="s">
        <v>4324</v>
      </c>
      <c r="D1140" s="95">
        <f>Prices!$J$35</f>
        <v>233.13131313131314</v>
      </c>
      <c r="F1140">
        <v>25.63</v>
      </c>
      <c r="G1140" t="s">
        <v>4325</v>
      </c>
      <c r="H1140" t="s">
        <v>12</v>
      </c>
      <c r="I1140" t="s">
        <v>4324</v>
      </c>
      <c r="J1140" t="s">
        <v>1610</v>
      </c>
    </row>
    <row r="1141" spans="1:11">
      <c r="A1141" t="s">
        <v>10</v>
      </c>
      <c r="B1141" t="s">
        <v>3744</v>
      </c>
      <c r="C1141" t="s">
        <v>3745</v>
      </c>
      <c r="D1141" s="95">
        <f>Prices!$J$35</f>
        <v>233.13131313131314</v>
      </c>
      <c r="F1141">
        <v>20.54</v>
      </c>
      <c r="G1141" t="s">
        <v>3746</v>
      </c>
      <c r="H1141" t="s">
        <v>12</v>
      </c>
      <c r="I1141" t="s">
        <v>3745</v>
      </c>
      <c r="J1141" t="s">
        <v>1610</v>
      </c>
    </row>
    <row r="1142" spans="1:11">
      <c r="A1142" t="s">
        <v>10</v>
      </c>
      <c r="B1142" t="s">
        <v>3548</v>
      </c>
      <c r="C1142" t="s">
        <v>3549</v>
      </c>
      <c r="D1142" s="95">
        <f>Prices!$J$35</f>
        <v>233.13131313131314</v>
      </c>
      <c r="F1142">
        <v>26.72</v>
      </c>
      <c r="G1142" t="s">
        <v>3550</v>
      </c>
      <c r="H1142" t="s">
        <v>12</v>
      </c>
      <c r="I1142" t="s">
        <v>3549</v>
      </c>
      <c r="J1142" t="s">
        <v>1610</v>
      </c>
    </row>
    <row r="1143" spans="1:11">
      <c r="A1143" t="s">
        <v>10</v>
      </c>
      <c r="B1143" t="s">
        <v>3051</v>
      </c>
      <c r="C1143" t="s">
        <v>3052</v>
      </c>
      <c r="D1143" s="95">
        <f>Prices!$J$35</f>
        <v>233.13131313131314</v>
      </c>
      <c r="F1143">
        <v>0</v>
      </c>
      <c r="G1143" t="s">
        <v>3053</v>
      </c>
      <c r="I1143" t="s">
        <v>3052</v>
      </c>
      <c r="J1143" t="s">
        <v>1610</v>
      </c>
    </row>
    <row r="1144" spans="1:11">
      <c r="A1144" t="s">
        <v>76</v>
      </c>
      <c r="B1144" t="s">
        <v>3367</v>
      </c>
      <c r="C1144" t="s">
        <v>3368</v>
      </c>
      <c r="D1144" s="95">
        <f>Prices!$J$35</f>
        <v>233.13131313131314</v>
      </c>
      <c r="F1144">
        <v>0</v>
      </c>
      <c r="G1144" t="s">
        <v>3369</v>
      </c>
      <c r="I1144" t="s">
        <v>3368</v>
      </c>
      <c r="J1144" t="s">
        <v>1610</v>
      </c>
      <c r="K1144" t="s">
        <v>3370</v>
      </c>
    </row>
    <row r="1145" spans="1:11">
      <c r="A1145" t="s">
        <v>76</v>
      </c>
      <c r="B1145" t="s">
        <v>3158</v>
      </c>
      <c r="C1145" t="s">
        <v>3159</v>
      </c>
      <c r="D1145" s="95">
        <f>Prices!$J$35</f>
        <v>233.13131313131314</v>
      </c>
      <c r="F1145">
        <v>0</v>
      </c>
      <c r="G1145" t="s">
        <v>3160</v>
      </c>
      <c r="I1145" t="s">
        <v>3159</v>
      </c>
      <c r="J1145" t="s">
        <v>1610</v>
      </c>
      <c r="K1145" t="s">
        <v>3161</v>
      </c>
    </row>
    <row r="1146" spans="1:11">
      <c r="A1146" t="s">
        <v>76</v>
      </c>
      <c r="B1146" t="s">
        <v>2261</v>
      </c>
      <c r="C1146" t="s">
        <v>2262</v>
      </c>
      <c r="D1146" s="95">
        <f>Prices!$J$35</f>
        <v>233.13131313131314</v>
      </c>
      <c r="F1146">
        <v>75.59</v>
      </c>
      <c r="G1146" t="s">
        <v>2263</v>
      </c>
      <c r="H1146" t="s">
        <v>12</v>
      </c>
      <c r="I1146" t="s">
        <v>2262</v>
      </c>
      <c r="J1146" t="s">
        <v>1610</v>
      </c>
      <c r="K1146" t="s">
        <v>2264</v>
      </c>
    </row>
    <row r="1147" spans="1:11">
      <c r="A1147" t="s">
        <v>10</v>
      </c>
      <c r="B1147" t="s">
        <v>3839</v>
      </c>
      <c r="C1147" t="s">
        <v>3840</v>
      </c>
      <c r="D1147" s="95">
        <f>Prices!$J$35</f>
        <v>233.13131313131314</v>
      </c>
      <c r="F1147">
        <v>2.0099999999999998</v>
      </c>
      <c r="G1147" t="s">
        <v>3841</v>
      </c>
      <c r="H1147" t="s">
        <v>12</v>
      </c>
      <c r="I1147" t="s">
        <v>3840</v>
      </c>
      <c r="J1147" t="s">
        <v>1610</v>
      </c>
      <c r="K1147" t="s">
        <v>3842</v>
      </c>
    </row>
    <row r="1148" spans="1:11">
      <c r="A1148" t="s">
        <v>10</v>
      </c>
      <c r="B1148" t="s">
        <v>3660</v>
      </c>
      <c r="C1148" t="s">
        <v>3661</v>
      </c>
      <c r="D1148" s="95">
        <f>Prices!$J$35</f>
        <v>233.13131313131314</v>
      </c>
      <c r="F1148">
        <v>15.95</v>
      </c>
      <c r="G1148" t="s">
        <v>3662</v>
      </c>
      <c r="H1148" t="s">
        <v>12</v>
      </c>
      <c r="I1148" t="s">
        <v>3661</v>
      </c>
      <c r="J1148" t="s">
        <v>1610</v>
      </c>
      <c r="K1148" t="s">
        <v>2031</v>
      </c>
    </row>
    <row r="1149" spans="1:11">
      <c r="A1149" t="s">
        <v>10</v>
      </c>
      <c r="B1149" t="s">
        <v>2802</v>
      </c>
      <c r="C1149" t="s">
        <v>2803</v>
      </c>
      <c r="D1149" s="95">
        <f>Prices!$J$35</f>
        <v>233.13131313131314</v>
      </c>
      <c r="F1149">
        <v>17.95</v>
      </c>
      <c r="G1149" t="s">
        <v>2804</v>
      </c>
      <c r="H1149" t="s">
        <v>12</v>
      </c>
      <c r="I1149" t="s">
        <v>2803</v>
      </c>
      <c r="J1149" t="s">
        <v>1610</v>
      </c>
      <c r="K1149" t="s">
        <v>2805</v>
      </c>
    </row>
    <row r="1150" spans="1:11">
      <c r="A1150" t="s">
        <v>76</v>
      </c>
      <c r="B1150" t="s">
        <v>4071</v>
      </c>
      <c r="C1150" t="s">
        <v>4072</v>
      </c>
      <c r="D1150" s="95">
        <f>Prices!$J$35</f>
        <v>233.13131313131314</v>
      </c>
      <c r="F1150">
        <v>50.58</v>
      </c>
      <c r="G1150" t="s">
        <v>4073</v>
      </c>
      <c r="H1150" t="s">
        <v>12</v>
      </c>
      <c r="I1150" t="s">
        <v>4072</v>
      </c>
      <c r="J1150" t="s">
        <v>1610</v>
      </c>
      <c r="K1150" t="s">
        <v>4074</v>
      </c>
    </row>
    <row r="1151" spans="1:11">
      <c r="A1151" t="s">
        <v>10</v>
      </c>
      <c r="B1151" t="s">
        <v>4249</v>
      </c>
      <c r="C1151" t="s">
        <v>4250</v>
      </c>
      <c r="D1151" s="95">
        <f>Prices!$J$35</f>
        <v>233.13131313131314</v>
      </c>
      <c r="F1151">
        <v>1.4</v>
      </c>
      <c r="G1151" t="s">
        <v>4251</v>
      </c>
      <c r="H1151" t="s">
        <v>12</v>
      </c>
      <c r="I1151" t="s">
        <v>4250</v>
      </c>
      <c r="J1151" t="s">
        <v>1610</v>
      </c>
      <c r="K1151" t="s">
        <v>4252</v>
      </c>
    </row>
    <row r="1152" spans="1:11">
      <c r="A1152" t="s">
        <v>10</v>
      </c>
      <c r="B1152" t="s">
        <v>2898</v>
      </c>
      <c r="C1152" t="s">
        <v>2899</v>
      </c>
      <c r="D1152" s="95">
        <f>Prices!$J$35</f>
        <v>233.13131313131314</v>
      </c>
      <c r="F1152">
        <v>0</v>
      </c>
      <c r="G1152" t="s">
        <v>2900</v>
      </c>
      <c r="I1152" t="s">
        <v>2899</v>
      </c>
      <c r="J1152" t="s">
        <v>1610</v>
      </c>
    </row>
    <row r="1153" spans="1:11">
      <c r="A1153" t="s">
        <v>10</v>
      </c>
      <c r="B1153" t="s">
        <v>4109</v>
      </c>
      <c r="C1153" t="s">
        <v>4110</v>
      </c>
      <c r="D1153" s="95">
        <f>Prices!$J$35</f>
        <v>233.13131313131314</v>
      </c>
      <c r="F1153">
        <v>22.69</v>
      </c>
      <c r="G1153" t="s">
        <v>4111</v>
      </c>
      <c r="H1153" t="s">
        <v>12</v>
      </c>
      <c r="I1153" t="s">
        <v>4110</v>
      </c>
      <c r="J1153" t="s">
        <v>1610</v>
      </c>
    </row>
    <row r="1154" spans="1:11">
      <c r="A1154" t="s">
        <v>10</v>
      </c>
      <c r="B1154" t="s">
        <v>2707</v>
      </c>
      <c r="C1154" t="s">
        <v>2708</v>
      </c>
      <c r="D1154" s="95">
        <f>Prices!$J$35</f>
        <v>233.13131313131314</v>
      </c>
      <c r="F1154">
        <v>4.26</v>
      </c>
      <c r="G1154" t="s">
        <v>2709</v>
      </c>
      <c r="H1154" t="s">
        <v>12</v>
      </c>
      <c r="I1154" t="s">
        <v>2708</v>
      </c>
      <c r="J1154" t="s">
        <v>1610</v>
      </c>
      <c r="K1154" t="s">
        <v>2710</v>
      </c>
    </row>
    <row r="1155" spans="1:11">
      <c r="A1155" t="s">
        <v>76</v>
      </c>
      <c r="B1155" t="s">
        <v>3345</v>
      </c>
      <c r="C1155" t="s">
        <v>3346</v>
      </c>
      <c r="D1155" s="95">
        <f>Prices!$J$35</f>
        <v>233.13131313131314</v>
      </c>
      <c r="F1155">
        <v>0</v>
      </c>
      <c r="G1155" t="s">
        <v>3347</v>
      </c>
      <c r="I1155" t="s">
        <v>3346</v>
      </c>
      <c r="J1155" t="s">
        <v>1610</v>
      </c>
      <c r="K1155" t="s">
        <v>3348</v>
      </c>
    </row>
    <row r="1156" spans="1:11">
      <c r="A1156" t="s">
        <v>76</v>
      </c>
      <c r="B1156" t="s">
        <v>1807</v>
      </c>
      <c r="C1156" t="s">
        <v>1808</v>
      </c>
      <c r="D1156" s="95">
        <f>Prices!$J$35</f>
        <v>233.13131313131314</v>
      </c>
      <c r="F1156">
        <v>46.56</v>
      </c>
      <c r="G1156" t="s">
        <v>1809</v>
      </c>
      <c r="H1156" t="s">
        <v>12</v>
      </c>
      <c r="I1156" t="s">
        <v>1808</v>
      </c>
      <c r="J1156" t="s">
        <v>1610</v>
      </c>
      <c r="K1156" t="s">
        <v>1810</v>
      </c>
    </row>
    <row r="1157" spans="1:11">
      <c r="A1157" t="s">
        <v>76</v>
      </c>
      <c r="B1157" t="s">
        <v>1811</v>
      </c>
      <c r="C1157" t="s">
        <v>1812</v>
      </c>
      <c r="D1157" s="95">
        <f>Prices!$J$35</f>
        <v>233.13131313131314</v>
      </c>
      <c r="F1157">
        <v>9.64</v>
      </c>
      <c r="G1157" t="s">
        <v>1813</v>
      </c>
      <c r="H1157" t="s">
        <v>12</v>
      </c>
      <c r="I1157" t="s">
        <v>1812</v>
      </c>
      <c r="J1157" t="s">
        <v>1610</v>
      </c>
      <c r="K1157" t="s">
        <v>1814</v>
      </c>
    </row>
    <row r="1158" spans="1:11">
      <c r="A1158" t="s">
        <v>10</v>
      </c>
      <c r="B1158" t="s">
        <v>1815</v>
      </c>
      <c r="C1158" t="s">
        <v>1816</v>
      </c>
      <c r="D1158" s="95">
        <f>Prices!$J$35</f>
        <v>233.13131313131314</v>
      </c>
      <c r="F1158">
        <v>11.43</v>
      </c>
      <c r="G1158" t="s">
        <v>4160</v>
      </c>
      <c r="H1158" t="s">
        <v>12</v>
      </c>
      <c r="I1158" t="s">
        <v>1816</v>
      </c>
      <c r="J1158" t="s">
        <v>1610</v>
      </c>
      <c r="K1158" t="s">
        <v>4161</v>
      </c>
    </row>
    <row r="1159" spans="1:11">
      <c r="A1159" t="s">
        <v>10</v>
      </c>
      <c r="B1159" t="s">
        <v>3612</v>
      </c>
      <c r="C1159" t="s">
        <v>3613</v>
      </c>
      <c r="D1159" s="95">
        <f>Prices!$J$35</f>
        <v>233.13131313131314</v>
      </c>
      <c r="F1159">
        <v>32.47</v>
      </c>
      <c r="G1159" t="s">
        <v>3614</v>
      </c>
      <c r="H1159" t="s">
        <v>12</v>
      </c>
      <c r="I1159" t="s">
        <v>3613</v>
      </c>
      <c r="J1159" t="s">
        <v>1610</v>
      </c>
      <c r="K1159" t="s">
        <v>3615</v>
      </c>
    </row>
    <row r="1160" spans="1:11">
      <c r="A1160" t="s">
        <v>76</v>
      </c>
      <c r="B1160" t="s">
        <v>1817</v>
      </c>
      <c r="C1160" t="s">
        <v>1818</v>
      </c>
      <c r="D1160" s="95">
        <f>Prices!$J$35</f>
        <v>233.13131313131314</v>
      </c>
      <c r="F1160">
        <v>47.19</v>
      </c>
      <c r="G1160" t="s">
        <v>1819</v>
      </c>
      <c r="H1160" t="s">
        <v>12</v>
      </c>
      <c r="I1160" t="s">
        <v>1818</v>
      </c>
      <c r="J1160" t="s">
        <v>1610</v>
      </c>
      <c r="K1160" t="s">
        <v>1820</v>
      </c>
    </row>
    <row r="1161" spans="1:11">
      <c r="A1161" t="s">
        <v>76</v>
      </c>
      <c r="B1161" t="s">
        <v>1821</v>
      </c>
      <c r="C1161" t="s">
        <v>1822</v>
      </c>
      <c r="D1161" s="95">
        <f>Prices!$J$35</f>
        <v>233.13131313131314</v>
      </c>
      <c r="F1161">
        <v>98.66</v>
      </c>
      <c r="G1161" t="s">
        <v>1823</v>
      </c>
      <c r="H1161" t="s">
        <v>12</v>
      </c>
      <c r="I1161" t="s">
        <v>1822</v>
      </c>
      <c r="J1161" t="s">
        <v>1610</v>
      </c>
      <c r="K1161" t="s">
        <v>1824</v>
      </c>
    </row>
    <row r="1162" spans="1:11">
      <c r="A1162" t="s">
        <v>23</v>
      </c>
      <c r="B1162" t="s">
        <v>1825</v>
      </c>
      <c r="C1162" t="s">
        <v>1826</v>
      </c>
      <c r="D1162" s="95">
        <f>Prices!$J$35</f>
        <v>233.13131313131314</v>
      </c>
      <c r="F1162">
        <v>15.16</v>
      </c>
      <c r="G1162" t="s">
        <v>3500</v>
      </c>
      <c r="H1162" t="s">
        <v>12</v>
      </c>
      <c r="I1162" t="s">
        <v>1826</v>
      </c>
      <c r="J1162" t="s">
        <v>1610</v>
      </c>
    </row>
    <row r="1163" spans="1:11">
      <c r="A1163" t="s">
        <v>76</v>
      </c>
      <c r="B1163" t="s">
        <v>2126</v>
      </c>
      <c r="C1163" t="s">
        <v>2127</v>
      </c>
      <c r="D1163" s="95">
        <f>Prices!$J$35</f>
        <v>233.13131313131314</v>
      </c>
      <c r="F1163">
        <v>0.2</v>
      </c>
      <c r="G1163" t="s">
        <v>2128</v>
      </c>
      <c r="H1163" t="s">
        <v>12</v>
      </c>
      <c r="I1163" t="s">
        <v>2127</v>
      </c>
      <c r="J1163" t="s">
        <v>1610</v>
      </c>
      <c r="K1163" t="s">
        <v>2129</v>
      </c>
    </row>
    <row r="1164" spans="1:11">
      <c r="A1164" t="s">
        <v>23</v>
      </c>
      <c r="B1164" t="s">
        <v>3692</v>
      </c>
      <c r="C1164" t="s">
        <v>3693</v>
      </c>
      <c r="D1164" s="95">
        <f>Prices!$J$35</f>
        <v>233.13131313131314</v>
      </c>
      <c r="F1164">
        <v>24.16</v>
      </c>
      <c r="G1164" t="s">
        <v>3694</v>
      </c>
      <c r="H1164" t="s">
        <v>12</v>
      </c>
      <c r="I1164" t="s">
        <v>3693</v>
      </c>
      <c r="J1164" t="s">
        <v>1610</v>
      </c>
    </row>
    <row r="1165" spans="1:11">
      <c r="A1165" t="s">
        <v>10</v>
      </c>
      <c r="B1165" t="s">
        <v>3635</v>
      </c>
      <c r="C1165" t="s">
        <v>3636</v>
      </c>
      <c r="D1165" s="95">
        <f>Prices!$J$35</f>
        <v>233.13131313131314</v>
      </c>
      <c r="F1165">
        <v>16.170000000000002</v>
      </c>
      <c r="G1165" t="s">
        <v>3637</v>
      </c>
      <c r="H1165" t="s">
        <v>12</v>
      </c>
      <c r="I1165" t="s">
        <v>3636</v>
      </c>
      <c r="J1165" t="s">
        <v>1610</v>
      </c>
      <c r="K1165" t="s">
        <v>3638</v>
      </c>
    </row>
    <row r="1166" spans="1:11">
      <c r="A1166" t="s">
        <v>23</v>
      </c>
      <c r="B1166" t="s">
        <v>3619</v>
      </c>
      <c r="C1166" t="s">
        <v>2731</v>
      </c>
      <c r="D1166" s="95">
        <f>Prices!$J$35</f>
        <v>233.13131313131314</v>
      </c>
      <c r="F1166">
        <v>47.67</v>
      </c>
      <c r="G1166" t="s">
        <v>3620</v>
      </c>
      <c r="H1166" t="s">
        <v>12</v>
      </c>
      <c r="I1166" t="s">
        <v>2731</v>
      </c>
      <c r="J1166" t="s">
        <v>1610</v>
      </c>
      <c r="K1166" t="s">
        <v>3621</v>
      </c>
    </row>
    <row r="1167" spans="1:11">
      <c r="A1167" t="s">
        <v>10</v>
      </c>
      <c r="B1167" t="s">
        <v>3447</v>
      </c>
      <c r="C1167" t="s">
        <v>3448</v>
      </c>
      <c r="D1167" s="95">
        <f>Prices!$J$35</f>
        <v>233.13131313131314</v>
      </c>
      <c r="F1167">
        <v>4</v>
      </c>
      <c r="G1167" t="s">
        <v>3449</v>
      </c>
      <c r="H1167" t="s">
        <v>12</v>
      </c>
      <c r="I1167" t="s">
        <v>3448</v>
      </c>
      <c r="J1167" t="s">
        <v>1610</v>
      </c>
      <c r="K1167" t="s">
        <v>3450</v>
      </c>
    </row>
    <row r="1168" spans="1:11">
      <c r="A1168" t="s">
        <v>76</v>
      </c>
      <c r="B1168" t="s">
        <v>1666</v>
      </c>
      <c r="C1168" t="s">
        <v>1667</v>
      </c>
      <c r="D1168" s="95">
        <f>Prices!$J$35</f>
        <v>233.13131313131314</v>
      </c>
      <c r="F1168">
        <v>16.54</v>
      </c>
      <c r="G1168" t="s">
        <v>1668</v>
      </c>
      <c r="H1168" t="s">
        <v>12</v>
      </c>
      <c r="I1168" t="s">
        <v>1667</v>
      </c>
      <c r="J1168" t="s">
        <v>1610</v>
      </c>
      <c r="K1168" t="s">
        <v>1669</v>
      </c>
    </row>
    <row r="1169" spans="1:11">
      <c r="A1169" t="s">
        <v>10</v>
      </c>
      <c r="B1169" t="s">
        <v>3784</v>
      </c>
      <c r="C1169" t="s">
        <v>3785</v>
      </c>
      <c r="D1169" s="95">
        <f>Prices!$J$35</f>
        <v>233.13131313131314</v>
      </c>
      <c r="F1169">
        <v>13.33</v>
      </c>
      <c r="G1169" t="s">
        <v>3786</v>
      </c>
      <c r="H1169" t="s">
        <v>12</v>
      </c>
      <c r="I1169" t="s">
        <v>3785</v>
      </c>
      <c r="J1169" t="s">
        <v>1610</v>
      </c>
      <c r="K1169" t="s">
        <v>2081</v>
      </c>
    </row>
    <row r="1170" spans="1:11">
      <c r="A1170" t="s">
        <v>10</v>
      </c>
      <c r="B1170" t="s">
        <v>4192</v>
      </c>
      <c r="C1170" t="s">
        <v>4193</v>
      </c>
      <c r="D1170" s="95">
        <f>Prices!$J$35</f>
        <v>233.13131313131314</v>
      </c>
      <c r="F1170">
        <v>26.68</v>
      </c>
      <c r="G1170" t="s">
        <v>4194</v>
      </c>
      <c r="H1170" t="s">
        <v>12</v>
      </c>
      <c r="I1170" t="s">
        <v>4193</v>
      </c>
      <c r="J1170" t="s">
        <v>1610</v>
      </c>
    </row>
    <row r="1171" spans="1:11">
      <c r="A1171" t="s">
        <v>76</v>
      </c>
      <c r="B1171" t="s">
        <v>2140</v>
      </c>
      <c r="C1171" t="s">
        <v>2141</v>
      </c>
      <c r="D1171" s="95">
        <f>Prices!$J$35</f>
        <v>233.13131313131314</v>
      </c>
      <c r="F1171">
        <v>7.44</v>
      </c>
      <c r="G1171" t="s">
        <v>2142</v>
      </c>
      <c r="H1171" t="s">
        <v>12</v>
      </c>
      <c r="I1171" t="s">
        <v>2141</v>
      </c>
      <c r="J1171" t="s">
        <v>1610</v>
      </c>
      <c r="K1171" t="s">
        <v>2143</v>
      </c>
    </row>
    <row r="1172" spans="1:11">
      <c r="A1172" t="s">
        <v>10</v>
      </c>
      <c r="B1172" t="s">
        <v>1674</v>
      </c>
      <c r="C1172" t="s">
        <v>1675</v>
      </c>
      <c r="D1172" s="95">
        <f>Prices!$J$35</f>
        <v>233.13131313131314</v>
      </c>
      <c r="F1172">
        <v>8.6199999999999992</v>
      </c>
      <c r="G1172" t="s">
        <v>3849</v>
      </c>
      <c r="H1172" t="s">
        <v>12</v>
      </c>
      <c r="I1172" t="s">
        <v>1675</v>
      </c>
      <c r="J1172" t="s">
        <v>1610</v>
      </c>
      <c r="K1172" t="s">
        <v>3850</v>
      </c>
    </row>
    <row r="1173" spans="1:11">
      <c r="A1173" t="s">
        <v>10</v>
      </c>
      <c r="B1173" t="s">
        <v>4014</v>
      </c>
      <c r="C1173" t="s">
        <v>4015</v>
      </c>
      <c r="D1173" s="95">
        <f>Prices!$J$35</f>
        <v>233.13131313131314</v>
      </c>
      <c r="F1173">
        <v>36.28</v>
      </c>
      <c r="G1173" t="s">
        <v>4016</v>
      </c>
      <c r="H1173" t="s">
        <v>12</v>
      </c>
      <c r="I1173" t="s">
        <v>4015</v>
      </c>
      <c r="J1173" t="s">
        <v>1610</v>
      </c>
    </row>
    <row r="1174" spans="1:11">
      <c r="A1174" t="s">
        <v>10</v>
      </c>
      <c r="B1174" t="s">
        <v>1670</v>
      </c>
      <c r="C1174" t="s">
        <v>1671</v>
      </c>
      <c r="D1174" s="95">
        <f>Prices!$J$35</f>
        <v>233.13131313131314</v>
      </c>
      <c r="F1174">
        <v>1.27</v>
      </c>
      <c r="G1174" t="s">
        <v>1672</v>
      </c>
      <c r="H1174" t="s">
        <v>12</v>
      </c>
      <c r="I1174" t="s">
        <v>1671</v>
      </c>
      <c r="J1174" t="s">
        <v>1610</v>
      </c>
      <c r="K1174" t="s">
        <v>1673</v>
      </c>
    </row>
    <row r="1175" spans="1:11">
      <c r="A1175" t="s">
        <v>76</v>
      </c>
      <c r="B1175" t="s">
        <v>3274</v>
      </c>
      <c r="C1175" t="s">
        <v>3275</v>
      </c>
      <c r="D1175" s="95">
        <f>Prices!$J$35</f>
        <v>233.13131313131314</v>
      </c>
      <c r="F1175">
        <v>0</v>
      </c>
      <c r="G1175" t="s">
        <v>3276</v>
      </c>
      <c r="I1175" t="s">
        <v>3275</v>
      </c>
      <c r="J1175" t="s">
        <v>1610</v>
      </c>
      <c r="K1175" t="s">
        <v>3277</v>
      </c>
    </row>
    <row r="1176" spans="1:11">
      <c r="A1176" t="s">
        <v>10</v>
      </c>
      <c r="B1176" t="s">
        <v>1676</v>
      </c>
      <c r="C1176" t="s">
        <v>1677</v>
      </c>
      <c r="D1176" s="95">
        <f>Prices!$J$35</f>
        <v>233.13131313131314</v>
      </c>
      <c r="F1176">
        <v>9.19</v>
      </c>
      <c r="G1176" t="s">
        <v>1678</v>
      </c>
      <c r="H1176" t="s">
        <v>12</v>
      </c>
      <c r="I1176" t="s">
        <v>1677</v>
      </c>
      <c r="J1176" t="s">
        <v>1610</v>
      </c>
      <c r="K1176" t="s">
        <v>1679</v>
      </c>
    </row>
    <row r="1177" spans="1:11">
      <c r="A1177" t="s">
        <v>76</v>
      </c>
      <c r="B1177" t="s">
        <v>1680</v>
      </c>
      <c r="C1177" t="s">
        <v>1681</v>
      </c>
      <c r="D1177" s="95">
        <f>Prices!$J$35</f>
        <v>233.13131313131314</v>
      </c>
      <c r="F1177">
        <v>0.95</v>
      </c>
      <c r="G1177" t="s">
        <v>1682</v>
      </c>
      <c r="H1177" t="s">
        <v>12</v>
      </c>
      <c r="I1177" t="s">
        <v>1681</v>
      </c>
      <c r="J1177" t="s">
        <v>1610</v>
      </c>
      <c r="K1177" t="s">
        <v>1683</v>
      </c>
    </row>
    <row r="1178" spans="1:11">
      <c r="A1178" t="s">
        <v>10</v>
      </c>
      <c r="B1178" t="s">
        <v>3395</v>
      </c>
      <c r="C1178" t="s">
        <v>3396</v>
      </c>
      <c r="D1178" s="95">
        <f>Prices!$J$35</f>
        <v>233.13131313131314</v>
      </c>
      <c r="F1178">
        <v>0</v>
      </c>
      <c r="G1178" t="s">
        <v>3397</v>
      </c>
      <c r="I1178" t="s">
        <v>3396</v>
      </c>
      <c r="J1178" t="s">
        <v>1610</v>
      </c>
    </row>
    <row r="1179" spans="1:11">
      <c r="A1179" t="s">
        <v>76</v>
      </c>
      <c r="B1179" t="s">
        <v>3043</v>
      </c>
      <c r="C1179" t="s">
        <v>3044</v>
      </c>
      <c r="D1179" s="95">
        <f>Prices!$J$35</f>
        <v>233.13131313131314</v>
      </c>
      <c r="F1179">
        <v>0</v>
      </c>
      <c r="G1179" t="s">
        <v>3045</v>
      </c>
      <c r="I1179" t="s">
        <v>3044</v>
      </c>
      <c r="J1179" t="s">
        <v>1610</v>
      </c>
      <c r="K1179" t="s">
        <v>3046</v>
      </c>
    </row>
    <row r="1180" spans="1:11">
      <c r="A1180" t="s">
        <v>10</v>
      </c>
      <c r="B1180" t="s">
        <v>3105</v>
      </c>
      <c r="C1180" t="s">
        <v>3908</v>
      </c>
      <c r="D1180" s="95">
        <f>Prices!$J$35</f>
        <v>233.13131313131314</v>
      </c>
      <c r="F1180">
        <v>6.46</v>
      </c>
      <c r="G1180" t="s">
        <v>3909</v>
      </c>
      <c r="H1180" t="s">
        <v>12</v>
      </c>
      <c r="I1180" t="s">
        <v>3908</v>
      </c>
      <c r="J1180" t="s">
        <v>1610</v>
      </c>
    </row>
    <row r="1181" spans="1:11">
      <c r="A1181" t="s">
        <v>10</v>
      </c>
      <c r="B1181" t="s">
        <v>4096</v>
      </c>
      <c r="C1181" t="s">
        <v>4097</v>
      </c>
      <c r="D1181" s="95">
        <f>Prices!$J$35</f>
        <v>233.13131313131314</v>
      </c>
      <c r="F1181">
        <v>19.82</v>
      </c>
      <c r="G1181" t="s">
        <v>4098</v>
      </c>
      <c r="H1181" t="s">
        <v>12</v>
      </c>
      <c r="I1181" t="s">
        <v>4097</v>
      </c>
      <c r="J1181" t="s">
        <v>1610</v>
      </c>
      <c r="K1181" t="s">
        <v>4099</v>
      </c>
    </row>
    <row r="1182" spans="1:11">
      <c r="A1182" t="s">
        <v>10</v>
      </c>
      <c r="B1182" t="s">
        <v>3955</v>
      </c>
      <c r="C1182" t="s">
        <v>3965</v>
      </c>
      <c r="D1182" s="95">
        <f>Prices!$J$35</f>
        <v>233.13131313131314</v>
      </c>
      <c r="F1182">
        <v>65.92</v>
      </c>
      <c r="G1182" t="s">
        <v>3966</v>
      </c>
      <c r="H1182" t="s">
        <v>12</v>
      </c>
      <c r="I1182" t="s">
        <v>3965</v>
      </c>
      <c r="J1182" t="s">
        <v>1610</v>
      </c>
    </row>
    <row r="1183" spans="1:11">
      <c r="A1183" t="s">
        <v>10</v>
      </c>
      <c r="B1183" t="s">
        <v>2659</v>
      </c>
      <c r="C1183" t="s">
        <v>4289</v>
      </c>
      <c r="D1183" s="95">
        <f>Prices!$J$35</f>
        <v>233.13131313131314</v>
      </c>
      <c r="F1183">
        <v>99.7</v>
      </c>
      <c r="G1183" t="s">
        <v>4290</v>
      </c>
      <c r="H1183" t="s">
        <v>12</v>
      </c>
      <c r="I1183" t="s">
        <v>4289</v>
      </c>
      <c r="J1183" t="s">
        <v>1610</v>
      </c>
    </row>
    <row r="1184" spans="1:11">
      <c r="A1184" t="s">
        <v>10</v>
      </c>
      <c r="B1184" t="s">
        <v>3051</v>
      </c>
      <c r="C1184" t="s">
        <v>4253</v>
      </c>
      <c r="D1184" s="95">
        <f>Prices!$J$35</f>
        <v>233.13131313131314</v>
      </c>
      <c r="F1184">
        <v>61.48</v>
      </c>
      <c r="G1184" t="s">
        <v>4254</v>
      </c>
      <c r="H1184" t="s">
        <v>12</v>
      </c>
      <c r="I1184" t="s">
        <v>4253</v>
      </c>
      <c r="J1184" t="s">
        <v>1610</v>
      </c>
    </row>
    <row r="1185" spans="1:11">
      <c r="A1185" t="s">
        <v>10</v>
      </c>
      <c r="B1185" t="s">
        <v>3915</v>
      </c>
      <c r="C1185" t="s">
        <v>3916</v>
      </c>
      <c r="D1185" s="95">
        <f>Prices!$J$35</f>
        <v>233.13131313131314</v>
      </c>
      <c r="F1185">
        <v>11.44</v>
      </c>
      <c r="G1185" t="s">
        <v>3917</v>
      </c>
      <c r="H1185" t="s">
        <v>12</v>
      </c>
      <c r="I1185" t="s">
        <v>3916</v>
      </c>
      <c r="J1185" t="s">
        <v>1610</v>
      </c>
    </row>
    <row r="1186" spans="1:11">
      <c r="A1186" t="s">
        <v>10</v>
      </c>
      <c r="B1186" t="s">
        <v>2659</v>
      </c>
      <c r="C1186" t="s">
        <v>2660</v>
      </c>
      <c r="D1186" s="95">
        <f>Prices!$J$35</f>
        <v>233.13131313131314</v>
      </c>
      <c r="F1186">
        <v>60.26</v>
      </c>
      <c r="G1186" t="s">
        <v>2661</v>
      </c>
      <c r="H1186" t="s">
        <v>12</v>
      </c>
      <c r="I1186" t="s">
        <v>2660</v>
      </c>
      <c r="J1186" t="s">
        <v>1610</v>
      </c>
    </row>
    <row r="1187" spans="1:11">
      <c r="A1187" t="s">
        <v>10</v>
      </c>
      <c r="B1187" t="s">
        <v>3955</v>
      </c>
      <c r="C1187" t="s">
        <v>3956</v>
      </c>
      <c r="D1187" s="95">
        <f>Prices!$J$35</f>
        <v>233.13131313131314</v>
      </c>
      <c r="F1187">
        <v>21.65</v>
      </c>
      <c r="G1187" t="s">
        <v>3957</v>
      </c>
      <c r="H1187" t="s">
        <v>12</v>
      </c>
      <c r="I1187" t="s">
        <v>3956</v>
      </c>
      <c r="J1187" t="s">
        <v>1610</v>
      </c>
    </row>
    <row r="1188" spans="1:11">
      <c r="A1188" t="s">
        <v>76</v>
      </c>
      <c r="B1188" t="s">
        <v>1783</v>
      </c>
      <c r="C1188" t="s">
        <v>1784</v>
      </c>
      <c r="D1188" s="95">
        <f>Prices!$J$35</f>
        <v>233.13131313131314</v>
      </c>
      <c r="F1188">
        <v>23.7</v>
      </c>
      <c r="G1188" t="s">
        <v>1785</v>
      </c>
      <c r="H1188" t="s">
        <v>12</v>
      </c>
      <c r="I1188" t="s">
        <v>1784</v>
      </c>
      <c r="J1188" t="s">
        <v>1610</v>
      </c>
      <c r="K1188" t="s">
        <v>1786</v>
      </c>
    </row>
    <row r="1189" spans="1:11">
      <c r="A1189" t="s">
        <v>23</v>
      </c>
      <c r="B1189" t="s">
        <v>3702</v>
      </c>
      <c r="C1189" t="s">
        <v>3703</v>
      </c>
      <c r="D1189" s="95">
        <f>Prices!$J$35</f>
        <v>233.13131313131314</v>
      </c>
      <c r="F1189">
        <v>11.5</v>
      </c>
      <c r="G1189" t="s">
        <v>3704</v>
      </c>
      <c r="H1189" t="s">
        <v>12</v>
      </c>
      <c r="I1189" t="s">
        <v>3703</v>
      </c>
      <c r="J1189" t="s">
        <v>1610</v>
      </c>
    </row>
    <row r="1190" spans="1:11">
      <c r="A1190" t="s">
        <v>10</v>
      </c>
      <c r="B1190" t="s">
        <v>3041</v>
      </c>
      <c r="C1190" t="s">
        <v>3042</v>
      </c>
      <c r="D1190" s="95">
        <f>Prices!$J$35</f>
        <v>233.13131313131314</v>
      </c>
      <c r="F1190">
        <v>18.16</v>
      </c>
      <c r="G1190" t="s">
        <v>3804</v>
      </c>
      <c r="H1190" t="s">
        <v>12</v>
      </c>
      <c r="I1190" t="s">
        <v>3042</v>
      </c>
      <c r="J1190" t="s">
        <v>1610</v>
      </c>
      <c r="K1190" t="s">
        <v>3805</v>
      </c>
    </row>
    <row r="1191" spans="1:11">
      <c r="A1191" t="s">
        <v>10</v>
      </c>
      <c r="B1191" t="s">
        <v>1787</v>
      </c>
      <c r="C1191" t="s">
        <v>1788</v>
      </c>
      <c r="D1191" s="95">
        <f>Prices!$J$35</f>
        <v>233.13131313131314</v>
      </c>
      <c r="F1191">
        <v>45.81</v>
      </c>
      <c r="G1191" t="s">
        <v>3493</v>
      </c>
      <c r="H1191" t="s">
        <v>12</v>
      </c>
      <c r="I1191" t="s">
        <v>1788</v>
      </c>
      <c r="J1191" t="s">
        <v>1610</v>
      </c>
      <c r="K1191" t="s">
        <v>3494</v>
      </c>
    </row>
    <row r="1192" spans="1:11">
      <c r="A1192" t="s">
        <v>76</v>
      </c>
      <c r="B1192" t="s">
        <v>1789</v>
      </c>
      <c r="C1192" t="s">
        <v>1790</v>
      </c>
      <c r="D1192" s="95">
        <f>Prices!$J$35</f>
        <v>233.13131313131314</v>
      </c>
      <c r="F1192">
        <v>62.28</v>
      </c>
      <c r="G1192" t="s">
        <v>1791</v>
      </c>
      <c r="H1192" t="s">
        <v>12</v>
      </c>
      <c r="I1192" t="s">
        <v>1790</v>
      </c>
      <c r="J1192" t="s">
        <v>1610</v>
      </c>
      <c r="K1192" t="s">
        <v>1792</v>
      </c>
    </row>
    <row r="1193" spans="1:11">
      <c r="A1193" t="s">
        <v>10</v>
      </c>
      <c r="B1193" t="s">
        <v>1793</v>
      </c>
      <c r="C1193" t="s">
        <v>1794</v>
      </c>
      <c r="D1193" s="95">
        <f>Prices!$J$35</f>
        <v>233.13131313131314</v>
      </c>
      <c r="F1193">
        <v>48.3</v>
      </c>
      <c r="G1193" t="s">
        <v>2701</v>
      </c>
      <c r="H1193" t="s">
        <v>12</v>
      </c>
      <c r="I1193" t="s">
        <v>1794</v>
      </c>
      <c r="J1193" t="s">
        <v>1610</v>
      </c>
      <c r="K1193" t="s">
        <v>2702</v>
      </c>
    </row>
    <row r="1194" spans="1:11">
      <c r="A1194" t="s">
        <v>10</v>
      </c>
      <c r="B1194" t="s">
        <v>2076</v>
      </c>
      <c r="C1194" t="s">
        <v>2077</v>
      </c>
      <c r="D1194" s="95">
        <f>Prices!$J$35</f>
        <v>233.13131313131314</v>
      </c>
      <c r="F1194">
        <v>4.41</v>
      </c>
      <c r="G1194" t="s">
        <v>2630</v>
      </c>
      <c r="H1194" t="s">
        <v>12</v>
      </c>
      <c r="I1194" t="s">
        <v>2077</v>
      </c>
      <c r="J1194" t="s">
        <v>1610</v>
      </c>
      <c r="K1194" t="s">
        <v>2631</v>
      </c>
    </row>
    <row r="1195" spans="1:11">
      <c r="A1195" t="s">
        <v>76</v>
      </c>
      <c r="B1195" t="s">
        <v>3270</v>
      </c>
      <c r="C1195" t="s">
        <v>3271</v>
      </c>
      <c r="D1195" s="95">
        <f>Prices!$J$35</f>
        <v>233.13131313131314</v>
      </c>
      <c r="F1195">
        <v>0</v>
      </c>
      <c r="G1195" t="s">
        <v>3272</v>
      </c>
      <c r="I1195" t="s">
        <v>3271</v>
      </c>
      <c r="J1195" t="s">
        <v>1610</v>
      </c>
      <c r="K1195" t="s">
        <v>3273</v>
      </c>
    </row>
    <row r="1196" spans="1:11">
      <c r="A1196" t="s">
        <v>76</v>
      </c>
      <c r="B1196" t="s">
        <v>1795</v>
      </c>
      <c r="C1196" t="s">
        <v>1796</v>
      </c>
      <c r="D1196" s="95">
        <f>Prices!$J$35</f>
        <v>233.13131313131314</v>
      </c>
      <c r="F1196">
        <v>41</v>
      </c>
      <c r="G1196" t="s">
        <v>1797</v>
      </c>
      <c r="H1196" t="s">
        <v>12</v>
      </c>
      <c r="I1196" t="s">
        <v>1796</v>
      </c>
      <c r="J1196" t="s">
        <v>1610</v>
      </c>
      <c r="K1196" t="s">
        <v>1798</v>
      </c>
    </row>
    <row r="1197" spans="1:11">
      <c r="A1197" t="s">
        <v>76</v>
      </c>
      <c r="B1197" t="s">
        <v>2159</v>
      </c>
      <c r="C1197" t="s">
        <v>2160</v>
      </c>
      <c r="D1197" s="95">
        <f>Prices!$J$35</f>
        <v>233.13131313131314</v>
      </c>
      <c r="F1197">
        <v>410.58</v>
      </c>
      <c r="G1197" t="s">
        <v>2161</v>
      </c>
      <c r="H1197" t="s">
        <v>12</v>
      </c>
      <c r="I1197" t="s">
        <v>2160</v>
      </c>
      <c r="J1197" t="s">
        <v>1610</v>
      </c>
      <c r="K1197" t="s">
        <v>2162</v>
      </c>
    </row>
    <row r="1198" spans="1:11">
      <c r="A1198" t="s">
        <v>76</v>
      </c>
      <c r="B1198" t="s">
        <v>1799</v>
      </c>
      <c r="C1198" t="s">
        <v>1800</v>
      </c>
      <c r="D1198" s="95">
        <f>Prices!$J$35</f>
        <v>233.13131313131314</v>
      </c>
      <c r="F1198">
        <v>4.5</v>
      </c>
      <c r="G1198" t="s">
        <v>1801</v>
      </c>
      <c r="H1198" t="s">
        <v>12</v>
      </c>
      <c r="I1198" t="s">
        <v>1800</v>
      </c>
      <c r="J1198" t="s">
        <v>1610</v>
      </c>
      <c r="K1198" t="s">
        <v>1802</v>
      </c>
    </row>
    <row r="1199" spans="1:11">
      <c r="A1199" t="s">
        <v>10</v>
      </c>
      <c r="B1199" t="s">
        <v>2269</v>
      </c>
      <c r="C1199" t="s">
        <v>2270</v>
      </c>
      <c r="D1199" s="95">
        <f>Prices!$J$35</f>
        <v>233.13131313131314</v>
      </c>
      <c r="F1199">
        <v>37.56</v>
      </c>
      <c r="G1199" t="s">
        <v>3880</v>
      </c>
      <c r="H1199" t="s">
        <v>12</v>
      </c>
      <c r="I1199" t="s">
        <v>2270</v>
      </c>
      <c r="J1199" t="s">
        <v>1610</v>
      </c>
      <c r="K1199" t="s">
        <v>3881</v>
      </c>
    </row>
    <row r="1200" spans="1:11">
      <c r="A1200" t="s">
        <v>76</v>
      </c>
      <c r="B1200" t="s">
        <v>1803</v>
      </c>
      <c r="C1200" t="s">
        <v>1804</v>
      </c>
      <c r="D1200" s="95">
        <f>Prices!$J$35</f>
        <v>233.13131313131314</v>
      </c>
      <c r="F1200">
        <v>9.5500000000000007</v>
      </c>
      <c r="G1200" t="s">
        <v>1805</v>
      </c>
      <c r="H1200" t="s">
        <v>12</v>
      </c>
      <c r="I1200" t="s">
        <v>1804</v>
      </c>
      <c r="J1200" t="s">
        <v>1610</v>
      </c>
      <c r="K1200" t="s">
        <v>1806</v>
      </c>
    </row>
    <row r="1201" spans="1:11">
      <c r="A1201" t="s">
        <v>10</v>
      </c>
      <c r="B1201" t="s">
        <v>4042</v>
      </c>
      <c r="C1201" t="s">
        <v>3330</v>
      </c>
      <c r="D1201" s="95">
        <f>Prices!$J$35</f>
        <v>233.13131313131314</v>
      </c>
      <c r="F1201">
        <v>86.6</v>
      </c>
      <c r="G1201" t="s">
        <v>3331</v>
      </c>
      <c r="H1201" t="s">
        <v>12</v>
      </c>
      <c r="I1201" t="s">
        <v>3330</v>
      </c>
      <c r="J1201" t="s">
        <v>1610</v>
      </c>
      <c r="K1201" t="s">
        <v>3332</v>
      </c>
    </row>
    <row r="1202" spans="1:11">
      <c r="A1202" t="s">
        <v>23</v>
      </c>
      <c r="B1202" t="s">
        <v>2790</v>
      </c>
      <c r="C1202" t="s">
        <v>1654</v>
      </c>
      <c r="D1202" s="95">
        <f>Prices!$J$35</f>
        <v>233.13131313131314</v>
      </c>
      <c r="F1202">
        <v>10.050000000000001</v>
      </c>
      <c r="G1202" t="s">
        <v>2791</v>
      </c>
      <c r="H1202" t="s">
        <v>12</v>
      </c>
      <c r="I1202" t="s">
        <v>1654</v>
      </c>
      <c r="J1202" t="s">
        <v>1610</v>
      </c>
    </row>
    <row r="1203" spans="1:11">
      <c r="A1203" t="s">
        <v>76</v>
      </c>
      <c r="B1203" t="s">
        <v>2179</v>
      </c>
      <c r="C1203" t="s">
        <v>2180</v>
      </c>
      <c r="D1203" s="95">
        <f>Prices!$J$35</f>
        <v>233.13131313131314</v>
      </c>
      <c r="F1203">
        <v>3.65</v>
      </c>
      <c r="G1203" t="s">
        <v>2181</v>
      </c>
      <c r="H1203" t="s">
        <v>12</v>
      </c>
      <c r="I1203" t="s">
        <v>2180</v>
      </c>
      <c r="J1203" t="s">
        <v>1610</v>
      </c>
      <c r="K1203" t="s">
        <v>2182</v>
      </c>
    </row>
    <row r="1204" spans="1:11">
      <c r="A1204" t="s">
        <v>76</v>
      </c>
      <c r="B1204" t="s">
        <v>3037</v>
      </c>
      <c r="C1204" t="s">
        <v>3038</v>
      </c>
      <c r="D1204" s="95">
        <f>Prices!$J$35</f>
        <v>233.13131313131314</v>
      </c>
      <c r="F1204">
        <v>0</v>
      </c>
      <c r="G1204" t="s">
        <v>3039</v>
      </c>
      <c r="I1204" t="s">
        <v>3038</v>
      </c>
      <c r="J1204" t="s">
        <v>1610</v>
      </c>
      <c r="K1204" t="s">
        <v>3040</v>
      </c>
    </row>
    <row r="1205" spans="1:11">
      <c r="A1205" t="s">
        <v>10</v>
      </c>
      <c r="B1205" t="s">
        <v>2283</v>
      </c>
      <c r="C1205" t="s">
        <v>2284</v>
      </c>
      <c r="D1205" s="95">
        <f>Prices!$J$35</f>
        <v>233.13131313131314</v>
      </c>
      <c r="F1205">
        <v>49.11</v>
      </c>
      <c r="G1205" t="s">
        <v>2285</v>
      </c>
      <c r="H1205" t="s">
        <v>12</v>
      </c>
      <c r="I1205" t="s">
        <v>2284</v>
      </c>
      <c r="J1205" t="s">
        <v>1610</v>
      </c>
      <c r="K1205" t="s">
        <v>2286</v>
      </c>
    </row>
    <row r="1206" spans="1:11">
      <c r="A1206" t="s">
        <v>23</v>
      </c>
      <c r="B1206" t="s">
        <v>4065</v>
      </c>
      <c r="C1206" t="s">
        <v>1655</v>
      </c>
      <c r="D1206" s="95">
        <f>Prices!$J$35</f>
        <v>233.13131313131314</v>
      </c>
      <c r="F1206">
        <v>15.71</v>
      </c>
      <c r="G1206" t="s">
        <v>4066</v>
      </c>
      <c r="H1206" t="s">
        <v>12</v>
      </c>
      <c r="I1206" t="s">
        <v>1655</v>
      </c>
      <c r="J1206" t="s">
        <v>1610</v>
      </c>
    </row>
    <row r="1207" spans="1:11">
      <c r="A1207" t="s">
        <v>23</v>
      </c>
      <c r="B1207" t="s">
        <v>4230</v>
      </c>
      <c r="C1207" t="s">
        <v>1657</v>
      </c>
      <c r="D1207" s="95">
        <f>Prices!$J$35</f>
        <v>233.13131313131314</v>
      </c>
      <c r="F1207">
        <v>17.940000000000001</v>
      </c>
      <c r="G1207" t="s">
        <v>4231</v>
      </c>
      <c r="H1207" t="s">
        <v>12</v>
      </c>
      <c r="I1207" t="s">
        <v>1657</v>
      </c>
      <c r="J1207" t="s">
        <v>1610</v>
      </c>
    </row>
    <row r="1208" spans="1:11">
      <c r="A1208" t="s">
        <v>76</v>
      </c>
      <c r="B1208" t="s">
        <v>1656</v>
      </c>
      <c r="C1208" t="s">
        <v>3971</v>
      </c>
      <c r="D1208" s="95">
        <f>Prices!$J$35</f>
        <v>233.13131313131314</v>
      </c>
      <c r="F1208">
        <v>42.02</v>
      </c>
      <c r="G1208" t="s">
        <v>3972</v>
      </c>
      <c r="H1208" t="s">
        <v>12</v>
      </c>
      <c r="I1208" t="s">
        <v>3971</v>
      </c>
      <c r="J1208" t="s">
        <v>1610</v>
      </c>
      <c r="K1208" t="s">
        <v>3973</v>
      </c>
    </row>
    <row r="1209" spans="1:11">
      <c r="A1209" t="s">
        <v>10</v>
      </c>
      <c r="B1209" t="s">
        <v>3763</v>
      </c>
      <c r="C1209" t="s">
        <v>3764</v>
      </c>
      <c r="D1209" s="95">
        <f>Prices!$J$35</f>
        <v>233.13131313131314</v>
      </c>
      <c r="F1209">
        <v>41.82</v>
      </c>
      <c r="G1209" t="s">
        <v>3765</v>
      </c>
      <c r="H1209" t="s">
        <v>12</v>
      </c>
      <c r="I1209" t="s">
        <v>3764</v>
      </c>
      <c r="J1209" t="s">
        <v>1610</v>
      </c>
      <c r="K1209" t="s">
        <v>2081</v>
      </c>
    </row>
    <row r="1210" spans="1:11">
      <c r="A1210" t="s">
        <v>10</v>
      </c>
      <c r="B1210" t="s">
        <v>3722</v>
      </c>
      <c r="C1210" t="s">
        <v>3723</v>
      </c>
      <c r="D1210" s="95">
        <f>Prices!$J$35</f>
        <v>233.13131313131314</v>
      </c>
      <c r="F1210">
        <v>6</v>
      </c>
      <c r="G1210" t="s">
        <v>3724</v>
      </c>
      <c r="H1210" t="s">
        <v>12</v>
      </c>
      <c r="I1210" t="s">
        <v>3723</v>
      </c>
      <c r="J1210" t="s">
        <v>1610</v>
      </c>
    </row>
    <row r="1211" spans="1:11">
      <c r="A1211" t="s">
        <v>10</v>
      </c>
      <c r="B1211" t="s">
        <v>4042</v>
      </c>
      <c r="C1211" t="s">
        <v>4043</v>
      </c>
      <c r="D1211" s="95">
        <f>Prices!$J$35</f>
        <v>233.13131313131314</v>
      </c>
      <c r="F1211">
        <v>17.989999999999998</v>
      </c>
      <c r="G1211" t="s">
        <v>4044</v>
      </c>
      <c r="H1211" t="s">
        <v>12</v>
      </c>
      <c r="I1211" t="s">
        <v>4043</v>
      </c>
      <c r="J1211" t="s">
        <v>1610</v>
      </c>
      <c r="K1211" t="s">
        <v>2081</v>
      </c>
    </row>
    <row r="1212" spans="1:11">
      <c r="A1212" t="s">
        <v>76</v>
      </c>
      <c r="B1212" t="s">
        <v>1658</v>
      </c>
      <c r="C1212" t="s">
        <v>1659</v>
      </c>
      <c r="D1212" s="95">
        <f>Prices!$J$35</f>
        <v>233.13131313131314</v>
      </c>
      <c r="F1212">
        <v>134.80000000000001</v>
      </c>
      <c r="G1212" t="s">
        <v>1660</v>
      </c>
      <c r="H1212" t="s">
        <v>12</v>
      </c>
      <c r="I1212" t="s">
        <v>1659</v>
      </c>
      <c r="J1212" t="s">
        <v>1610</v>
      </c>
      <c r="K1212" t="s">
        <v>1661</v>
      </c>
    </row>
    <row r="1213" spans="1:11">
      <c r="A1213" t="s">
        <v>10</v>
      </c>
      <c r="B1213" t="s">
        <v>1658</v>
      </c>
      <c r="C1213" t="s">
        <v>2952</v>
      </c>
      <c r="D1213" s="95">
        <f>Prices!$J$35</f>
        <v>233.13131313131314</v>
      </c>
      <c r="F1213">
        <v>0</v>
      </c>
      <c r="G1213" t="s">
        <v>2953</v>
      </c>
      <c r="I1213" t="s">
        <v>2952</v>
      </c>
      <c r="J1213" t="s">
        <v>1610</v>
      </c>
    </row>
    <row r="1214" spans="1:11">
      <c r="A1214" t="s">
        <v>10</v>
      </c>
      <c r="B1214" t="s">
        <v>4301</v>
      </c>
      <c r="C1214" t="s">
        <v>4302</v>
      </c>
      <c r="D1214" s="95">
        <f>Prices!$J$35</f>
        <v>233.13131313131314</v>
      </c>
      <c r="F1214">
        <v>101.77</v>
      </c>
      <c r="G1214" t="s">
        <v>4303</v>
      </c>
      <c r="H1214" t="s">
        <v>12</v>
      </c>
      <c r="I1214" t="s">
        <v>4302</v>
      </c>
      <c r="J1214" t="s">
        <v>1610</v>
      </c>
      <c r="K1214" t="s">
        <v>4304</v>
      </c>
    </row>
    <row r="1215" spans="1:11">
      <c r="A1215" t="s">
        <v>76</v>
      </c>
      <c r="B1215" t="s">
        <v>2954</v>
      </c>
      <c r="C1215" t="s">
        <v>2955</v>
      </c>
      <c r="D1215" s="95">
        <f>Prices!$J$35</f>
        <v>233.13131313131314</v>
      </c>
      <c r="F1215">
        <v>0</v>
      </c>
      <c r="G1215" t="s">
        <v>2956</v>
      </c>
      <c r="I1215" t="s">
        <v>2955</v>
      </c>
      <c r="J1215" t="s">
        <v>1610</v>
      </c>
      <c r="K1215" t="s">
        <v>2957</v>
      </c>
    </row>
    <row r="1216" spans="1:11">
      <c r="A1216" t="s">
        <v>76</v>
      </c>
      <c r="B1216" t="s">
        <v>1662</v>
      </c>
      <c r="C1216" t="s">
        <v>1663</v>
      </c>
      <c r="D1216" s="95">
        <f>Prices!$J$35</f>
        <v>233.13131313131314</v>
      </c>
      <c r="F1216">
        <v>2.2999999999999998</v>
      </c>
      <c r="G1216" t="s">
        <v>1664</v>
      </c>
      <c r="H1216" t="s">
        <v>12</v>
      </c>
      <c r="I1216" t="s">
        <v>1663</v>
      </c>
      <c r="J1216" t="s">
        <v>1610</v>
      </c>
      <c r="K1216" t="s">
        <v>1665</v>
      </c>
    </row>
    <row r="1217" spans="1:11">
      <c r="A1217" t="s">
        <v>10</v>
      </c>
      <c r="B1217" t="s">
        <v>3298</v>
      </c>
      <c r="C1217" t="s">
        <v>3299</v>
      </c>
      <c r="D1217" s="95">
        <f>Prices!$J$35</f>
        <v>233.13131313131314</v>
      </c>
      <c r="F1217">
        <v>0</v>
      </c>
      <c r="G1217" t="s">
        <v>3300</v>
      </c>
      <c r="I1217" t="s">
        <v>3299</v>
      </c>
      <c r="J1217" t="s">
        <v>1610</v>
      </c>
    </row>
    <row r="1218" spans="1:11">
      <c r="A1218" t="s">
        <v>76</v>
      </c>
      <c r="B1218" t="s">
        <v>3303</v>
      </c>
      <c r="C1218" t="s">
        <v>3304</v>
      </c>
      <c r="D1218" s="95">
        <f>Prices!$J$35</f>
        <v>233.13131313131314</v>
      </c>
      <c r="F1218">
        <v>0</v>
      </c>
      <c r="G1218" t="s">
        <v>3305</v>
      </c>
      <c r="I1218" t="s">
        <v>3304</v>
      </c>
      <c r="J1218" t="s">
        <v>1610</v>
      </c>
      <c r="K1218" t="s">
        <v>3306</v>
      </c>
    </row>
    <row r="1219" spans="1:11">
      <c r="A1219" t="s">
        <v>10</v>
      </c>
      <c r="B1219" t="s">
        <v>4093</v>
      </c>
      <c r="C1219" t="s">
        <v>4094</v>
      </c>
      <c r="D1219" s="95">
        <f>Prices!$J$35</f>
        <v>233.13131313131314</v>
      </c>
      <c r="F1219">
        <v>7.58</v>
      </c>
      <c r="G1219" t="s">
        <v>4095</v>
      </c>
      <c r="H1219" t="s">
        <v>12</v>
      </c>
      <c r="I1219" t="s">
        <v>4094</v>
      </c>
      <c r="J1219" t="s">
        <v>1610</v>
      </c>
    </row>
    <row r="1220" spans="1:11" ht="30">
      <c r="A1220" t="s">
        <v>76</v>
      </c>
      <c r="B1220" s="1" t="s">
        <v>2381</v>
      </c>
      <c r="C1220" t="s">
        <v>2382</v>
      </c>
      <c r="D1220" s="95">
        <f>Prices!$J$35</f>
        <v>233.13131313131314</v>
      </c>
      <c r="F1220">
        <v>36.14</v>
      </c>
      <c r="G1220" t="s">
        <v>2383</v>
      </c>
      <c r="H1220" t="s">
        <v>12</v>
      </c>
      <c r="I1220" t="s">
        <v>2382</v>
      </c>
      <c r="J1220" t="s">
        <v>1610</v>
      </c>
      <c r="K1220" t="s">
        <v>2298</v>
      </c>
    </row>
    <row r="1221" spans="1:11">
      <c r="A1221" t="s">
        <v>10</v>
      </c>
      <c r="B1221" t="s">
        <v>1528</v>
      </c>
      <c r="C1221" t="s">
        <v>1529</v>
      </c>
      <c r="D1221" s="95">
        <f>Prices!$J$39</f>
        <v>246.84491978609626</v>
      </c>
      <c r="F1221">
        <v>23.04</v>
      </c>
      <c r="G1221" t="s">
        <v>1530</v>
      </c>
      <c r="H1221" t="s">
        <v>12</v>
      </c>
      <c r="I1221" t="s">
        <v>1529</v>
      </c>
      <c r="J1221" t="s">
        <v>940</v>
      </c>
      <c r="K1221" t="s">
        <v>1531</v>
      </c>
    </row>
    <row r="1222" spans="1:11">
      <c r="A1222" t="s">
        <v>10</v>
      </c>
      <c r="B1222" t="s">
        <v>973</v>
      </c>
      <c r="C1222" t="s">
        <v>974</v>
      </c>
      <c r="D1222" s="95">
        <f>Prices!$J$39</f>
        <v>246.84491978609626</v>
      </c>
      <c r="F1222">
        <v>70.760000000000005</v>
      </c>
      <c r="G1222" t="s">
        <v>975</v>
      </c>
      <c r="H1222" t="s">
        <v>12</v>
      </c>
      <c r="I1222" t="s">
        <v>974</v>
      </c>
      <c r="J1222" t="s">
        <v>940</v>
      </c>
    </row>
    <row r="1223" spans="1:11">
      <c r="A1223" t="s">
        <v>10</v>
      </c>
      <c r="B1223" t="s">
        <v>1008</v>
      </c>
      <c r="C1223" t="s">
        <v>1009</v>
      </c>
      <c r="D1223" s="95">
        <f>Prices!$J$39</f>
        <v>246.84491978609626</v>
      </c>
      <c r="F1223">
        <v>34.119999999999997</v>
      </c>
      <c r="G1223" t="s">
        <v>1010</v>
      </c>
      <c r="H1223" t="s">
        <v>12</v>
      </c>
      <c r="I1223" t="s">
        <v>1009</v>
      </c>
      <c r="J1223" t="s">
        <v>940</v>
      </c>
      <c r="K1223" t="s">
        <v>1011</v>
      </c>
    </row>
    <row r="1224" spans="1:11">
      <c r="A1224" t="s">
        <v>10</v>
      </c>
      <c r="B1224" t="s">
        <v>1581</v>
      </c>
      <c r="C1224" t="s">
        <v>1582</v>
      </c>
      <c r="D1224" s="95">
        <f>Prices!$J$39</f>
        <v>246.84491978609626</v>
      </c>
      <c r="F1224">
        <v>28.86</v>
      </c>
      <c r="G1224" t="s">
        <v>1583</v>
      </c>
      <c r="H1224" t="s">
        <v>12</v>
      </c>
      <c r="I1224" t="s">
        <v>1582</v>
      </c>
      <c r="J1224" t="s">
        <v>940</v>
      </c>
      <c r="K1224" t="s">
        <v>1584</v>
      </c>
    </row>
    <row r="1225" spans="1:11">
      <c r="A1225" t="s">
        <v>10</v>
      </c>
      <c r="B1225" t="s">
        <v>1032</v>
      </c>
      <c r="C1225" t="s">
        <v>1033</v>
      </c>
      <c r="D1225" s="95">
        <f>Prices!$J$39</f>
        <v>246.84491978609626</v>
      </c>
      <c r="F1225">
        <v>43.73</v>
      </c>
      <c r="G1225" t="s">
        <v>1034</v>
      </c>
      <c r="H1225" t="s">
        <v>12</v>
      </c>
      <c r="I1225" t="s">
        <v>1033</v>
      </c>
      <c r="J1225" t="s">
        <v>940</v>
      </c>
      <c r="K1225" t="s">
        <v>1011</v>
      </c>
    </row>
    <row r="1226" spans="1:11">
      <c r="A1226" t="s">
        <v>10</v>
      </c>
      <c r="B1226" t="s">
        <v>1052</v>
      </c>
      <c r="C1226" t="s">
        <v>1053</v>
      </c>
      <c r="D1226" s="95">
        <f>Prices!$J$39</f>
        <v>246.84491978609626</v>
      </c>
      <c r="F1226">
        <v>78.08</v>
      </c>
      <c r="G1226" t="s">
        <v>1054</v>
      </c>
      <c r="H1226" t="s">
        <v>12</v>
      </c>
      <c r="I1226" t="s">
        <v>1053</v>
      </c>
      <c r="J1226" t="s">
        <v>940</v>
      </c>
      <c r="K1226" t="s">
        <v>1011</v>
      </c>
    </row>
    <row r="1227" spans="1:11">
      <c r="A1227" t="s">
        <v>10</v>
      </c>
      <c r="B1227" t="s">
        <v>1166</v>
      </c>
      <c r="C1227" t="s">
        <v>1167</v>
      </c>
      <c r="D1227" s="95">
        <f>Prices!$J$39</f>
        <v>246.84491978609626</v>
      </c>
      <c r="F1227">
        <v>13.92</v>
      </c>
      <c r="G1227" t="s">
        <v>1168</v>
      </c>
      <c r="H1227" t="s">
        <v>12</v>
      </c>
      <c r="I1227" t="s">
        <v>1167</v>
      </c>
      <c r="J1227" t="s">
        <v>940</v>
      </c>
      <c r="K1227" t="s">
        <v>1169</v>
      </c>
    </row>
    <row r="1228" spans="1:11">
      <c r="A1228" t="s">
        <v>76</v>
      </c>
      <c r="B1228" t="s">
        <v>1062</v>
      </c>
      <c r="C1228" t="s">
        <v>1063</v>
      </c>
      <c r="D1228" s="95">
        <f>Prices!$J$39</f>
        <v>246.84491978609626</v>
      </c>
      <c r="F1228">
        <v>0</v>
      </c>
      <c r="G1228" t="s">
        <v>1064</v>
      </c>
      <c r="I1228" t="s">
        <v>1063</v>
      </c>
      <c r="J1228" t="s">
        <v>940</v>
      </c>
      <c r="K1228" t="s">
        <v>965</v>
      </c>
    </row>
    <row r="1229" spans="1:11">
      <c r="A1229" t="s">
        <v>76</v>
      </c>
      <c r="B1229" t="s">
        <v>1180</v>
      </c>
      <c r="C1229" t="s">
        <v>1181</v>
      </c>
      <c r="D1229" s="95">
        <f>Prices!$J$39</f>
        <v>246.84491978609626</v>
      </c>
      <c r="F1229">
        <v>0</v>
      </c>
      <c r="G1229" t="s">
        <v>1182</v>
      </c>
      <c r="I1229" t="s">
        <v>1181</v>
      </c>
      <c r="J1229" t="s">
        <v>940</v>
      </c>
      <c r="K1229" t="s">
        <v>965</v>
      </c>
    </row>
    <row r="1230" spans="1:11">
      <c r="A1230" t="s">
        <v>76</v>
      </c>
      <c r="B1230" t="s">
        <v>1111</v>
      </c>
      <c r="C1230" t="s">
        <v>1112</v>
      </c>
      <c r="D1230" s="95">
        <f>Prices!$J$39</f>
        <v>246.84491978609626</v>
      </c>
      <c r="F1230">
        <v>0</v>
      </c>
      <c r="G1230" t="s">
        <v>1113</v>
      </c>
      <c r="I1230" t="s">
        <v>1112</v>
      </c>
      <c r="J1230" t="s">
        <v>940</v>
      </c>
      <c r="K1230" t="s">
        <v>965</v>
      </c>
    </row>
    <row r="1231" spans="1:11">
      <c r="A1231" t="s">
        <v>76</v>
      </c>
      <c r="B1231" t="s">
        <v>1048</v>
      </c>
      <c r="C1231" t="s">
        <v>1049</v>
      </c>
      <c r="D1231" s="95">
        <f>Prices!$J$39</f>
        <v>246.84491978609626</v>
      </c>
      <c r="F1231">
        <v>33.81</v>
      </c>
      <c r="G1231" t="s">
        <v>1050</v>
      </c>
      <c r="H1231" t="s">
        <v>12</v>
      </c>
      <c r="I1231" t="s">
        <v>1049</v>
      </c>
      <c r="J1231" t="s">
        <v>940</v>
      </c>
      <c r="K1231" t="s">
        <v>1051</v>
      </c>
    </row>
    <row r="1232" spans="1:11">
      <c r="A1232" t="s">
        <v>76</v>
      </c>
      <c r="B1232" t="s">
        <v>966</v>
      </c>
      <c r="C1232" t="s">
        <v>967</v>
      </c>
      <c r="D1232" s="95">
        <f>Prices!$J$39</f>
        <v>246.84491978609626</v>
      </c>
      <c r="F1232">
        <v>17.21</v>
      </c>
      <c r="G1232" t="s">
        <v>968</v>
      </c>
      <c r="H1232" t="s">
        <v>12</v>
      </c>
      <c r="I1232" t="s">
        <v>967</v>
      </c>
      <c r="J1232" t="s">
        <v>940</v>
      </c>
    </row>
    <row r="1233" spans="1:11">
      <c r="A1233" t="s">
        <v>10</v>
      </c>
      <c r="B1233" t="s">
        <v>1546</v>
      </c>
      <c r="C1233" t="s">
        <v>1547</v>
      </c>
      <c r="D1233" s="95">
        <f>Prices!$J$39</f>
        <v>246.84491978609626</v>
      </c>
      <c r="F1233">
        <v>18.32</v>
      </c>
      <c r="G1233" t="s">
        <v>1548</v>
      </c>
      <c r="H1233" t="s">
        <v>12</v>
      </c>
      <c r="I1233" t="s">
        <v>1547</v>
      </c>
      <c r="J1233" t="s">
        <v>940</v>
      </c>
      <c r="K1233" t="s">
        <v>1549</v>
      </c>
    </row>
    <row r="1234" spans="1:11">
      <c r="A1234" t="s">
        <v>10</v>
      </c>
      <c r="B1234" t="s">
        <v>1387</v>
      </c>
      <c r="C1234" t="s">
        <v>1388</v>
      </c>
      <c r="D1234" s="95">
        <f>Prices!$J$39</f>
        <v>246.84491978609626</v>
      </c>
      <c r="F1234">
        <v>13.4</v>
      </c>
      <c r="G1234" t="s">
        <v>1389</v>
      </c>
      <c r="H1234" t="s">
        <v>12</v>
      </c>
      <c r="I1234" t="s">
        <v>1388</v>
      </c>
      <c r="J1234" t="s">
        <v>940</v>
      </c>
      <c r="K1234" t="s">
        <v>1390</v>
      </c>
    </row>
    <row r="1235" spans="1:11">
      <c r="A1235" t="s">
        <v>76</v>
      </c>
      <c r="B1235" t="s">
        <v>1543</v>
      </c>
      <c r="C1235" t="s">
        <v>1544</v>
      </c>
      <c r="D1235" s="95">
        <f>Prices!$J$39</f>
        <v>246.84491978609626</v>
      </c>
      <c r="F1235">
        <v>0</v>
      </c>
      <c r="G1235" t="s">
        <v>1545</v>
      </c>
      <c r="I1235" t="s">
        <v>1544</v>
      </c>
      <c r="J1235" t="s">
        <v>940</v>
      </c>
      <c r="K1235" t="s">
        <v>965</v>
      </c>
    </row>
    <row r="1236" spans="1:11">
      <c r="A1236" t="s">
        <v>76</v>
      </c>
      <c r="B1236" t="s">
        <v>1331</v>
      </c>
      <c r="C1236" t="s">
        <v>1332</v>
      </c>
      <c r="D1236" s="95">
        <f>Prices!$J$39</f>
        <v>246.84491978609626</v>
      </c>
      <c r="F1236">
        <v>1.49</v>
      </c>
      <c r="G1236" t="s">
        <v>1333</v>
      </c>
      <c r="H1236" t="s">
        <v>12</v>
      </c>
      <c r="I1236" t="s">
        <v>1332</v>
      </c>
      <c r="J1236" t="s">
        <v>940</v>
      </c>
      <c r="K1236" t="s">
        <v>965</v>
      </c>
    </row>
    <row r="1237" spans="1:11">
      <c r="A1237" t="s">
        <v>76</v>
      </c>
      <c r="B1237" t="s">
        <v>1557</v>
      </c>
      <c r="C1237" t="s">
        <v>1558</v>
      </c>
      <c r="D1237" s="95">
        <f>Prices!$J$39</f>
        <v>246.84491978609626</v>
      </c>
      <c r="F1237">
        <v>25.69</v>
      </c>
      <c r="G1237" t="s">
        <v>1559</v>
      </c>
      <c r="H1237" t="s">
        <v>12</v>
      </c>
      <c r="I1237" t="s">
        <v>1558</v>
      </c>
      <c r="J1237" t="s">
        <v>940</v>
      </c>
      <c r="K1237" t="s">
        <v>1470</v>
      </c>
    </row>
    <row r="1238" spans="1:11">
      <c r="A1238" t="s">
        <v>23</v>
      </c>
      <c r="B1238" t="s">
        <v>1041</v>
      </c>
      <c r="C1238" t="s">
        <v>1042</v>
      </c>
      <c r="D1238" s="95">
        <f>Prices!$J$39</f>
        <v>246.84491978609626</v>
      </c>
      <c r="F1238">
        <v>14.11</v>
      </c>
      <c r="G1238" t="s">
        <v>1043</v>
      </c>
      <c r="H1238" t="s">
        <v>12</v>
      </c>
      <c r="I1238" t="s">
        <v>1042</v>
      </c>
      <c r="J1238" t="s">
        <v>940</v>
      </c>
      <c r="K1238" t="s">
        <v>1044</v>
      </c>
    </row>
    <row r="1239" spans="1:11">
      <c r="A1239" t="s">
        <v>76</v>
      </c>
      <c r="B1239" t="s">
        <v>962</v>
      </c>
      <c r="C1239" t="s">
        <v>963</v>
      </c>
      <c r="D1239" s="95">
        <f>Prices!$J$39</f>
        <v>246.84491978609626</v>
      </c>
      <c r="F1239">
        <v>0</v>
      </c>
      <c r="G1239" t="s">
        <v>964</v>
      </c>
      <c r="I1239" t="s">
        <v>963</v>
      </c>
      <c r="J1239" t="s">
        <v>940</v>
      </c>
      <c r="K1239" t="s">
        <v>965</v>
      </c>
    </row>
    <row r="1240" spans="1:11">
      <c r="A1240" t="s">
        <v>10</v>
      </c>
      <c r="B1240" t="s">
        <v>1257</v>
      </c>
      <c r="C1240" t="s">
        <v>1258</v>
      </c>
      <c r="D1240" s="95">
        <f>Prices!$J$39</f>
        <v>246.84491978609626</v>
      </c>
      <c r="F1240">
        <v>7.07</v>
      </c>
      <c r="G1240" t="s">
        <v>1259</v>
      </c>
      <c r="H1240" t="s">
        <v>12</v>
      </c>
      <c r="I1240" t="s">
        <v>1258</v>
      </c>
      <c r="J1240" t="s">
        <v>940</v>
      </c>
    </row>
    <row r="1241" spans="1:11">
      <c r="A1241" t="s">
        <v>76</v>
      </c>
      <c r="B1241" t="s">
        <v>1140</v>
      </c>
      <c r="C1241" t="s">
        <v>1141</v>
      </c>
      <c r="D1241" s="95">
        <f>Prices!$J$39</f>
        <v>246.84491978609626</v>
      </c>
      <c r="F1241">
        <v>0</v>
      </c>
      <c r="G1241" t="s">
        <v>1142</v>
      </c>
      <c r="I1241" t="s">
        <v>1141</v>
      </c>
      <c r="J1241" t="s">
        <v>940</v>
      </c>
      <c r="K1241" t="s">
        <v>965</v>
      </c>
    </row>
    <row r="1242" spans="1:11">
      <c r="A1242" t="s">
        <v>10</v>
      </c>
      <c r="B1242" t="s">
        <v>1533</v>
      </c>
      <c r="C1242" t="s">
        <v>1534</v>
      </c>
      <c r="D1242" s="95">
        <f>Prices!$J$39</f>
        <v>246.84491978609626</v>
      </c>
      <c r="F1242">
        <v>16.89</v>
      </c>
      <c r="G1242" t="s">
        <v>1535</v>
      </c>
      <c r="H1242" t="s">
        <v>12</v>
      </c>
      <c r="I1242" t="s">
        <v>1534</v>
      </c>
      <c r="J1242" t="s">
        <v>940</v>
      </c>
      <c r="K1242" t="s">
        <v>1536</v>
      </c>
    </row>
    <row r="1243" spans="1:11">
      <c r="A1243" t="s">
        <v>76</v>
      </c>
      <c r="B1243" t="s">
        <v>1143</v>
      </c>
      <c r="C1243" t="s">
        <v>1144</v>
      </c>
      <c r="D1243" s="95">
        <f>Prices!$J$39</f>
        <v>246.84491978609626</v>
      </c>
      <c r="F1243">
        <v>0</v>
      </c>
      <c r="G1243" t="s">
        <v>1145</v>
      </c>
      <c r="I1243" t="s">
        <v>1144</v>
      </c>
      <c r="J1243" t="s">
        <v>940</v>
      </c>
      <c r="K1243" t="s">
        <v>965</v>
      </c>
    </row>
    <row r="1244" spans="1:11">
      <c r="A1244" t="s">
        <v>10</v>
      </c>
      <c r="B1244" t="s">
        <v>1334</v>
      </c>
      <c r="C1244" t="s">
        <v>1335</v>
      </c>
      <c r="D1244" s="95">
        <f>Prices!$J$39</f>
        <v>246.84491978609626</v>
      </c>
      <c r="F1244">
        <v>0.73</v>
      </c>
      <c r="G1244" t="s">
        <v>1336</v>
      </c>
      <c r="H1244" t="s">
        <v>12</v>
      </c>
      <c r="I1244" t="s">
        <v>1335</v>
      </c>
      <c r="J1244" t="s">
        <v>940</v>
      </c>
      <c r="K1244" t="s">
        <v>1337</v>
      </c>
    </row>
    <row r="1245" spans="1:11">
      <c r="A1245" t="s">
        <v>76</v>
      </c>
      <c r="B1245" t="s">
        <v>1492</v>
      </c>
      <c r="C1245" t="s">
        <v>1493</v>
      </c>
      <c r="D1245" s="95">
        <f>Prices!$J$39</f>
        <v>246.84491978609626</v>
      </c>
      <c r="F1245">
        <v>0</v>
      </c>
      <c r="G1245" t="s">
        <v>1494</v>
      </c>
      <c r="I1245" t="s">
        <v>1493</v>
      </c>
      <c r="J1245" t="s">
        <v>940</v>
      </c>
      <c r="K1245" t="s">
        <v>1495</v>
      </c>
    </row>
    <row r="1246" spans="1:11">
      <c r="A1246" t="s">
        <v>10</v>
      </c>
      <c r="B1246" t="s">
        <v>1085</v>
      </c>
      <c r="C1246" t="s">
        <v>1086</v>
      </c>
      <c r="D1246" s="95">
        <f>Prices!$J$39</f>
        <v>246.84491978609626</v>
      </c>
      <c r="F1246">
        <v>29.53</v>
      </c>
      <c r="G1246" t="s">
        <v>1087</v>
      </c>
      <c r="H1246" t="s">
        <v>12</v>
      </c>
      <c r="I1246" t="s">
        <v>1086</v>
      </c>
      <c r="J1246" t="s">
        <v>940</v>
      </c>
      <c r="K1246" t="s">
        <v>1088</v>
      </c>
    </row>
    <row r="1247" spans="1:11">
      <c r="A1247" t="s">
        <v>10</v>
      </c>
      <c r="B1247" t="s">
        <v>1338</v>
      </c>
      <c r="C1247" t="s">
        <v>1339</v>
      </c>
      <c r="D1247" s="95">
        <f>Prices!$J$39</f>
        <v>246.84491978609626</v>
      </c>
      <c r="F1247">
        <v>11.44</v>
      </c>
      <c r="G1247" t="s">
        <v>1340</v>
      </c>
      <c r="H1247" t="s">
        <v>12</v>
      </c>
      <c r="I1247" t="s">
        <v>1339</v>
      </c>
      <c r="J1247" t="s">
        <v>940</v>
      </c>
    </row>
    <row r="1248" spans="1:11">
      <c r="A1248" t="s">
        <v>76</v>
      </c>
      <c r="B1248" t="s">
        <v>1341</v>
      </c>
      <c r="C1248" t="s">
        <v>1342</v>
      </c>
      <c r="D1248" s="95">
        <f>Prices!$J$39</f>
        <v>246.84491978609626</v>
      </c>
      <c r="F1248">
        <v>3.2</v>
      </c>
      <c r="G1248" t="s">
        <v>1343</v>
      </c>
      <c r="H1248" t="s">
        <v>12</v>
      </c>
      <c r="I1248" t="s">
        <v>1342</v>
      </c>
      <c r="J1248" t="s">
        <v>940</v>
      </c>
      <c r="K1248" t="s">
        <v>1344</v>
      </c>
    </row>
    <row r="1249" spans="1:11">
      <c r="A1249" t="s">
        <v>10</v>
      </c>
      <c r="B1249" t="s">
        <v>942</v>
      </c>
      <c r="C1249" t="s">
        <v>943</v>
      </c>
      <c r="D1249" s="95">
        <f>Prices!$J$39</f>
        <v>246.84491978609626</v>
      </c>
      <c r="F1249">
        <v>31.27</v>
      </c>
      <c r="G1249" t="s">
        <v>1121</v>
      </c>
      <c r="H1249" t="s">
        <v>12</v>
      </c>
      <c r="I1249" t="s">
        <v>943</v>
      </c>
      <c r="J1249" t="s">
        <v>940</v>
      </c>
      <c r="K1249" t="s">
        <v>1122</v>
      </c>
    </row>
    <row r="1250" spans="1:11">
      <c r="A1250" t="s">
        <v>76</v>
      </c>
      <c r="B1250" t="s">
        <v>1560</v>
      </c>
      <c r="C1250" t="s">
        <v>1561</v>
      </c>
      <c r="D1250" s="95">
        <f>Prices!$J$39</f>
        <v>246.84491978609626</v>
      </c>
      <c r="F1250">
        <v>1.17</v>
      </c>
      <c r="G1250" t="s">
        <v>1562</v>
      </c>
      <c r="H1250" t="s">
        <v>12</v>
      </c>
      <c r="I1250" t="s">
        <v>1561</v>
      </c>
      <c r="J1250" t="s">
        <v>940</v>
      </c>
      <c r="K1250" t="s">
        <v>941</v>
      </c>
    </row>
    <row r="1251" spans="1:11">
      <c r="A1251" t="s">
        <v>10</v>
      </c>
      <c r="B1251" t="s">
        <v>1133</v>
      </c>
      <c r="C1251" t="s">
        <v>1134</v>
      </c>
      <c r="D1251" s="95">
        <f>Prices!$J$39</f>
        <v>246.84491978609626</v>
      </c>
      <c r="F1251">
        <v>71.459999999999994</v>
      </c>
      <c r="G1251" t="s">
        <v>1135</v>
      </c>
      <c r="H1251" t="s">
        <v>12</v>
      </c>
      <c r="I1251" t="s">
        <v>1134</v>
      </c>
      <c r="J1251" t="s">
        <v>940</v>
      </c>
      <c r="K1251" t="s">
        <v>1136</v>
      </c>
    </row>
    <row r="1252" spans="1:11">
      <c r="A1252" t="s">
        <v>76</v>
      </c>
      <c r="B1252" t="s">
        <v>1588</v>
      </c>
      <c r="C1252" t="s">
        <v>1589</v>
      </c>
      <c r="D1252" s="95">
        <f>Prices!$J$39</f>
        <v>246.84491978609626</v>
      </c>
      <c r="F1252">
        <v>36.1</v>
      </c>
      <c r="G1252" t="s">
        <v>1590</v>
      </c>
      <c r="H1252" t="s">
        <v>12</v>
      </c>
      <c r="I1252" t="s">
        <v>1589</v>
      </c>
      <c r="J1252" t="s">
        <v>940</v>
      </c>
      <c r="K1252" t="s">
        <v>965</v>
      </c>
    </row>
    <row r="1253" spans="1:11">
      <c r="A1253" t="s">
        <v>76</v>
      </c>
      <c r="B1253" t="s">
        <v>1170</v>
      </c>
      <c r="C1253" t="s">
        <v>1171</v>
      </c>
      <c r="D1253" s="95">
        <f>Prices!$J$39</f>
        <v>246.84491978609626</v>
      </c>
      <c r="F1253">
        <v>0</v>
      </c>
      <c r="G1253" t="s">
        <v>1172</v>
      </c>
      <c r="I1253" t="s">
        <v>1171</v>
      </c>
      <c r="J1253" t="s">
        <v>940</v>
      </c>
      <c r="K1253" t="s">
        <v>965</v>
      </c>
    </row>
    <row r="1254" spans="1:11">
      <c r="A1254" t="s">
        <v>10</v>
      </c>
      <c r="B1254" t="s">
        <v>1577</v>
      </c>
      <c r="C1254" t="s">
        <v>1578</v>
      </c>
      <c r="D1254" s="95">
        <f>Prices!$J$39</f>
        <v>246.84491978609626</v>
      </c>
      <c r="F1254">
        <v>32.18</v>
      </c>
      <c r="G1254" t="s">
        <v>1579</v>
      </c>
      <c r="H1254" t="s">
        <v>12</v>
      </c>
      <c r="I1254" t="s">
        <v>1578</v>
      </c>
      <c r="J1254" t="s">
        <v>940</v>
      </c>
      <c r="K1254" t="s">
        <v>1580</v>
      </c>
    </row>
    <row r="1255" spans="1:11">
      <c r="A1255" t="s">
        <v>10</v>
      </c>
      <c r="B1255" t="s">
        <v>1345</v>
      </c>
      <c r="C1255" t="s">
        <v>1346</v>
      </c>
      <c r="D1255" s="95">
        <f>Prices!$J$39</f>
        <v>246.84491978609626</v>
      </c>
      <c r="F1255">
        <v>2.21</v>
      </c>
      <c r="G1255" t="s">
        <v>1347</v>
      </c>
      <c r="H1255" t="s">
        <v>12</v>
      </c>
      <c r="I1255" t="s">
        <v>1346</v>
      </c>
      <c r="J1255" t="s">
        <v>940</v>
      </c>
    </row>
    <row r="1256" spans="1:11">
      <c r="A1256" t="s">
        <v>76</v>
      </c>
      <c r="B1256" t="s">
        <v>1475</v>
      </c>
      <c r="C1256" t="s">
        <v>1476</v>
      </c>
      <c r="D1256" s="95">
        <f>Prices!$J$39</f>
        <v>246.84491978609626</v>
      </c>
      <c r="F1256">
        <v>0</v>
      </c>
      <c r="G1256" t="s">
        <v>1477</v>
      </c>
      <c r="I1256" t="s">
        <v>1476</v>
      </c>
      <c r="J1256" t="s">
        <v>940</v>
      </c>
      <c r="K1256" t="s">
        <v>965</v>
      </c>
    </row>
    <row r="1257" spans="1:11">
      <c r="A1257" t="s">
        <v>76</v>
      </c>
      <c r="B1257" t="s">
        <v>1026</v>
      </c>
      <c r="C1257" t="s">
        <v>1027</v>
      </c>
      <c r="D1257" s="95">
        <f>Prices!$J$39</f>
        <v>246.84491978609626</v>
      </c>
      <c r="F1257">
        <v>0</v>
      </c>
      <c r="G1257">
        <v>39030133</v>
      </c>
      <c r="I1257" t="s">
        <v>1027</v>
      </c>
      <c r="J1257" t="s">
        <v>940</v>
      </c>
      <c r="K1257" t="s">
        <v>965</v>
      </c>
    </row>
    <row r="1258" spans="1:11">
      <c r="A1258" t="s">
        <v>76</v>
      </c>
      <c r="B1258" t="s">
        <v>1363</v>
      </c>
      <c r="C1258" t="s">
        <v>1364</v>
      </c>
      <c r="D1258" s="95">
        <f>Prices!$J$39</f>
        <v>246.84491978609626</v>
      </c>
      <c r="F1258">
        <v>6.06</v>
      </c>
      <c r="G1258" t="s">
        <v>1365</v>
      </c>
      <c r="H1258" t="s">
        <v>12</v>
      </c>
      <c r="I1258" t="s">
        <v>1364</v>
      </c>
      <c r="J1258" t="s">
        <v>940</v>
      </c>
      <c r="K1258" t="s">
        <v>965</v>
      </c>
    </row>
    <row r="1259" spans="1:11">
      <c r="A1259" t="s">
        <v>10</v>
      </c>
      <c r="B1259" t="s">
        <v>993</v>
      </c>
      <c r="C1259" t="s">
        <v>994</v>
      </c>
      <c r="D1259" s="95">
        <f>Prices!$J$39</f>
        <v>246.84491978609626</v>
      </c>
      <c r="F1259">
        <v>29.59</v>
      </c>
      <c r="G1259" t="s">
        <v>1019</v>
      </c>
      <c r="H1259" t="s">
        <v>12</v>
      </c>
      <c r="I1259" t="s">
        <v>994</v>
      </c>
      <c r="J1259" t="s">
        <v>940</v>
      </c>
    </row>
    <row r="1260" spans="1:11">
      <c r="A1260" t="s">
        <v>23</v>
      </c>
      <c r="B1260" t="s">
        <v>956</v>
      </c>
      <c r="C1260" t="s">
        <v>957</v>
      </c>
      <c r="D1260" s="95">
        <f>Prices!$J$39</f>
        <v>246.84491978609626</v>
      </c>
      <c r="F1260">
        <v>1.94</v>
      </c>
      <c r="G1260" t="s">
        <v>958</v>
      </c>
      <c r="H1260" t="s">
        <v>12</v>
      </c>
      <c r="I1260" t="s">
        <v>957</v>
      </c>
      <c r="J1260" t="s">
        <v>940</v>
      </c>
    </row>
    <row r="1261" spans="1:11">
      <c r="A1261" t="s">
        <v>10</v>
      </c>
      <c r="B1261" t="s">
        <v>1391</v>
      </c>
      <c r="C1261" t="s">
        <v>1392</v>
      </c>
      <c r="D1261" s="95">
        <f>Prices!$J$39</f>
        <v>246.84491978609626</v>
      </c>
      <c r="F1261">
        <v>0</v>
      </c>
      <c r="G1261" t="s">
        <v>1393</v>
      </c>
      <c r="I1261" t="s">
        <v>1392</v>
      </c>
      <c r="J1261" t="s">
        <v>940</v>
      </c>
    </row>
    <row r="1262" spans="1:11">
      <c r="A1262" t="s">
        <v>10</v>
      </c>
      <c r="B1262" t="s">
        <v>1489</v>
      </c>
      <c r="C1262" t="s">
        <v>1490</v>
      </c>
      <c r="D1262" s="95">
        <f>Prices!$J$39</f>
        <v>246.84491978609626</v>
      </c>
      <c r="F1262">
        <v>5.42</v>
      </c>
      <c r="G1262" t="s">
        <v>1491</v>
      </c>
      <c r="H1262" t="s">
        <v>12</v>
      </c>
      <c r="I1262" t="s">
        <v>1490</v>
      </c>
      <c r="J1262" t="s">
        <v>940</v>
      </c>
    </row>
    <row r="1263" spans="1:11">
      <c r="A1263" t="s">
        <v>10</v>
      </c>
      <c r="B1263" t="s">
        <v>1360</v>
      </c>
      <c r="C1263" t="s">
        <v>1361</v>
      </c>
      <c r="D1263" s="95">
        <f>Prices!$J$39</f>
        <v>246.84491978609626</v>
      </c>
      <c r="F1263">
        <v>7.78</v>
      </c>
      <c r="G1263" t="s">
        <v>1362</v>
      </c>
      <c r="H1263" t="s">
        <v>12</v>
      </c>
      <c r="I1263" t="s">
        <v>1361</v>
      </c>
      <c r="J1263" t="s">
        <v>940</v>
      </c>
    </row>
    <row r="1264" spans="1:11">
      <c r="A1264" t="s">
        <v>10</v>
      </c>
      <c r="B1264" t="s">
        <v>997</v>
      </c>
      <c r="C1264" t="s">
        <v>998</v>
      </c>
      <c r="D1264" s="95">
        <f>Prices!$J$39</f>
        <v>246.84491978609626</v>
      </c>
      <c r="F1264">
        <v>9.0399999999999991</v>
      </c>
      <c r="G1264" t="s">
        <v>999</v>
      </c>
      <c r="H1264" t="s">
        <v>12</v>
      </c>
      <c r="I1264" t="s">
        <v>998</v>
      </c>
      <c r="J1264" t="s">
        <v>940</v>
      </c>
      <c r="K1264" t="s">
        <v>1000</v>
      </c>
    </row>
    <row r="1265" spans="1:11">
      <c r="A1265" t="s">
        <v>10</v>
      </c>
      <c r="B1265" t="s">
        <v>1399</v>
      </c>
      <c r="C1265" t="s">
        <v>1400</v>
      </c>
      <c r="D1265" s="95">
        <f>Prices!$J$39</f>
        <v>246.84491978609626</v>
      </c>
      <c r="F1265">
        <v>1.03</v>
      </c>
      <c r="G1265" t="s">
        <v>1401</v>
      </c>
      <c r="H1265" t="s">
        <v>12</v>
      </c>
      <c r="I1265" t="s">
        <v>1400</v>
      </c>
      <c r="J1265" t="s">
        <v>940</v>
      </c>
    </row>
    <row r="1266" spans="1:11">
      <c r="A1266" t="s">
        <v>10</v>
      </c>
      <c r="B1266" t="s">
        <v>1525</v>
      </c>
      <c r="C1266" t="s">
        <v>1526</v>
      </c>
      <c r="D1266" s="95">
        <f>Prices!$J$39</f>
        <v>246.84491978609626</v>
      </c>
      <c r="F1266">
        <v>20.05</v>
      </c>
      <c r="G1266" t="s">
        <v>1527</v>
      </c>
      <c r="H1266" t="s">
        <v>12</v>
      </c>
      <c r="I1266" t="s">
        <v>1526</v>
      </c>
      <c r="J1266" t="s">
        <v>940</v>
      </c>
    </row>
    <row r="1267" spans="1:11">
      <c r="A1267" t="s">
        <v>10</v>
      </c>
      <c r="B1267" t="s">
        <v>1200</v>
      </c>
      <c r="C1267" t="s">
        <v>1201</v>
      </c>
      <c r="D1267" s="95">
        <f>Prices!$J$39</f>
        <v>246.84491978609626</v>
      </c>
      <c r="F1267">
        <v>20.149999999999999</v>
      </c>
      <c r="G1267" t="s">
        <v>1202</v>
      </c>
      <c r="H1267" t="s">
        <v>12</v>
      </c>
      <c r="I1267" t="s">
        <v>1201</v>
      </c>
      <c r="J1267" t="s">
        <v>940</v>
      </c>
    </row>
    <row r="1268" spans="1:11">
      <c r="A1268" t="s">
        <v>10</v>
      </c>
      <c r="B1268" t="s">
        <v>1467</v>
      </c>
      <c r="C1268" t="s">
        <v>1468</v>
      </c>
      <c r="D1268" s="95">
        <f>Prices!$J$39</f>
        <v>246.84491978609626</v>
      </c>
      <c r="F1268">
        <v>3.54</v>
      </c>
      <c r="G1268" t="s">
        <v>1469</v>
      </c>
      <c r="H1268" t="s">
        <v>12</v>
      </c>
      <c r="I1268" t="s">
        <v>1468</v>
      </c>
      <c r="J1268" t="s">
        <v>940</v>
      </c>
      <c r="K1268" t="s">
        <v>1470</v>
      </c>
    </row>
    <row r="1269" spans="1:11">
      <c r="A1269" t="s">
        <v>10</v>
      </c>
      <c r="B1269" t="s">
        <v>1068</v>
      </c>
      <c r="C1269" t="s">
        <v>1069</v>
      </c>
      <c r="D1269" s="95">
        <f>Prices!$J$39</f>
        <v>246.84491978609626</v>
      </c>
      <c r="F1269">
        <v>7.97</v>
      </c>
      <c r="G1269" t="s">
        <v>1070</v>
      </c>
      <c r="H1269" t="s">
        <v>12</v>
      </c>
      <c r="I1269" t="s">
        <v>1069</v>
      </c>
      <c r="J1269" t="s">
        <v>940</v>
      </c>
    </row>
    <row r="1270" spans="1:11">
      <c r="A1270" t="s">
        <v>76</v>
      </c>
      <c r="B1270" t="s">
        <v>1348</v>
      </c>
      <c r="C1270" t="s">
        <v>1349</v>
      </c>
      <c r="D1270" s="95">
        <f>Prices!$J$39</f>
        <v>246.84491978609626</v>
      </c>
      <c r="F1270">
        <v>104.92</v>
      </c>
      <c r="G1270" t="s">
        <v>1350</v>
      </c>
      <c r="H1270" t="s">
        <v>12</v>
      </c>
      <c r="I1270" t="s">
        <v>1349</v>
      </c>
      <c r="J1270" t="s">
        <v>940</v>
      </c>
      <c r="K1270" t="s">
        <v>1351</v>
      </c>
    </row>
    <row r="1271" spans="1:11">
      <c r="A1271" t="s">
        <v>10</v>
      </c>
      <c r="B1271" t="s">
        <v>1023</v>
      </c>
      <c r="C1271" t="s">
        <v>1024</v>
      </c>
      <c r="D1271" s="95">
        <f>Prices!$J$39</f>
        <v>246.84491978609626</v>
      </c>
      <c r="F1271">
        <v>64.650000000000006</v>
      </c>
      <c r="G1271" t="s">
        <v>1025</v>
      </c>
      <c r="H1271" t="s">
        <v>12</v>
      </c>
      <c r="I1271" t="s">
        <v>1024</v>
      </c>
      <c r="J1271" t="s">
        <v>940</v>
      </c>
    </row>
    <row r="1272" spans="1:11">
      <c r="A1272" t="s">
        <v>10</v>
      </c>
      <c r="B1272" t="s">
        <v>1045</v>
      </c>
      <c r="C1272" t="s">
        <v>1046</v>
      </c>
      <c r="D1272" s="95">
        <f>Prices!$J$39</f>
        <v>246.84491978609626</v>
      </c>
      <c r="F1272">
        <v>9.2899999999999991</v>
      </c>
      <c r="G1272" t="s">
        <v>1047</v>
      </c>
      <c r="H1272" t="s">
        <v>12</v>
      </c>
      <c r="I1272" t="s">
        <v>1046</v>
      </c>
      <c r="J1272" t="s">
        <v>940</v>
      </c>
    </row>
    <row r="1273" spans="1:11">
      <c r="A1273" t="s">
        <v>10</v>
      </c>
      <c r="B1273" t="s">
        <v>1394</v>
      </c>
      <c r="C1273" t="s">
        <v>1395</v>
      </c>
      <c r="D1273" s="95">
        <f>Prices!$J$39</f>
        <v>246.84491978609626</v>
      </c>
      <c r="F1273">
        <v>42.07</v>
      </c>
      <c r="G1273" t="s">
        <v>1396</v>
      </c>
      <c r="H1273" t="s">
        <v>12</v>
      </c>
      <c r="I1273" t="s">
        <v>1395</v>
      </c>
      <c r="J1273" t="s">
        <v>940</v>
      </c>
      <c r="K1273" t="s">
        <v>1397</v>
      </c>
    </row>
    <row r="1274" spans="1:11">
      <c r="A1274" t="s">
        <v>10</v>
      </c>
      <c r="B1274" t="s">
        <v>1173</v>
      </c>
      <c r="C1274" t="s">
        <v>1174</v>
      </c>
      <c r="D1274" s="95">
        <f>Prices!$J$39</f>
        <v>246.84491978609626</v>
      </c>
      <c r="F1274">
        <v>94.59</v>
      </c>
      <c r="G1274" t="s">
        <v>1175</v>
      </c>
      <c r="H1274" t="s">
        <v>12</v>
      </c>
      <c r="I1274" t="s">
        <v>1174</v>
      </c>
      <c r="J1274" t="s">
        <v>940</v>
      </c>
      <c r="K1274" t="s">
        <v>1176</v>
      </c>
    </row>
    <row r="1275" spans="1:11">
      <c r="A1275" t="s">
        <v>980</v>
      </c>
      <c r="B1275" t="s">
        <v>962</v>
      </c>
      <c r="C1275" t="s">
        <v>1035</v>
      </c>
      <c r="D1275" s="95">
        <f>Prices!$J$39</f>
        <v>246.84491978609626</v>
      </c>
      <c r="F1275">
        <v>0</v>
      </c>
      <c r="G1275" t="s">
        <v>1036</v>
      </c>
      <c r="I1275" t="s">
        <v>1035</v>
      </c>
      <c r="J1275" t="s">
        <v>940</v>
      </c>
      <c r="K1275" t="s">
        <v>1037</v>
      </c>
    </row>
    <row r="1276" spans="1:11">
      <c r="A1276" t="s">
        <v>980</v>
      </c>
      <c r="B1276" t="s">
        <v>981</v>
      </c>
      <c r="C1276" t="s">
        <v>982</v>
      </c>
      <c r="D1276" s="95">
        <f>Prices!$J$39</f>
        <v>246.84491978609626</v>
      </c>
      <c r="F1276">
        <v>0</v>
      </c>
      <c r="G1276" t="s">
        <v>983</v>
      </c>
      <c r="I1276" t="s">
        <v>982</v>
      </c>
      <c r="J1276" t="s">
        <v>940</v>
      </c>
      <c r="K1276" t="s">
        <v>984</v>
      </c>
    </row>
    <row r="1277" spans="1:11">
      <c r="A1277" t="s">
        <v>980</v>
      </c>
      <c r="B1277" t="s">
        <v>1092</v>
      </c>
      <c r="C1277" t="s">
        <v>1093</v>
      </c>
      <c r="D1277" s="95">
        <f>Prices!$J$39</f>
        <v>246.84491978609626</v>
      </c>
      <c r="F1277">
        <v>0</v>
      </c>
      <c r="G1277" t="s">
        <v>1094</v>
      </c>
      <c r="I1277" t="s">
        <v>1093</v>
      </c>
      <c r="J1277" t="s">
        <v>940</v>
      </c>
      <c r="K1277" t="s">
        <v>1095</v>
      </c>
    </row>
    <row r="1278" spans="1:11">
      <c r="A1278" t="s">
        <v>980</v>
      </c>
      <c r="B1278" t="s">
        <v>1075</v>
      </c>
      <c r="C1278" t="s">
        <v>1076</v>
      </c>
      <c r="D1278" s="95">
        <f>Prices!$J$39</f>
        <v>246.84491978609626</v>
      </c>
      <c r="F1278">
        <v>0</v>
      </c>
      <c r="G1278" t="s">
        <v>1077</v>
      </c>
      <c r="I1278" t="s">
        <v>1076</v>
      </c>
      <c r="J1278" t="s">
        <v>940</v>
      </c>
      <c r="K1278" t="s">
        <v>1078</v>
      </c>
    </row>
    <row r="1279" spans="1:11">
      <c r="A1279" t="s">
        <v>76</v>
      </c>
      <c r="B1279" t="s">
        <v>487</v>
      </c>
      <c r="C1279" t="s">
        <v>488</v>
      </c>
      <c r="D1279" s="95">
        <f>Prices!$J$43</f>
        <v>260.79096045197741</v>
      </c>
      <c r="F1279">
        <v>0</v>
      </c>
      <c r="G1279" t="s">
        <v>489</v>
      </c>
      <c r="I1279" t="s">
        <v>488</v>
      </c>
      <c r="J1279" t="s">
        <v>13</v>
      </c>
      <c r="K1279" t="s">
        <v>490</v>
      </c>
    </row>
    <row r="1280" spans="1:11">
      <c r="A1280" t="s">
        <v>76</v>
      </c>
      <c r="B1280" t="s">
        <v>838</v>
      </c>
      <c r="C1280" t="s">
        <v>839</v>
      </c>
      <c r="D1280" s="95">
        <f>Prices!$J$43</f>
        <v>260.79096045197741</v>
      </c>
      <c r="F1280">
        <v>19</v>
      </c>
      <c r="G1280" t="s">
        <v>840</v>
      </c>
      <c r="H1280" t="s">
        <v>12</v>
      </c>
      <c r="I1280" t="s">
        <v>839</v>
      </c>
      <c r="J1280" t="s">
        <v>13</v>
      </c>
      <c r="K1280" t="s">
        <v>841</v>
      </c>
    </row>
    <row r="1281" spans="1:11">
      <c r="A1281" t="s">
        <v>76</v>
      </c>
      <c r="B1281" t="s">
        <v>2014</v>
      </c>
      <c r="C1281" t="s">
        <v>2015</v>
      </c>
      <c r="D1281" s="95">
        <f>Prices!$J$43</f>
        <v>260.79096045197741</v>
      </c>
      <c r="F1281">
        <v>21.62</v>
      </c>
      <c r="G1281" t="s">
        <v>2016</v>
      </c>
      <c r="H1281" t="s">
        <v>12</v>
      </c>
      <c r="I1281" t="s">
        <v>2015</v>
      </c>
      <c r="J1281" t="s">
        <v>1610</v>
      </c>
      <c r="K1281" t="s">
        <v>2017</v>
      </c>
    </row>
    <row r="1282" spans="1:11">
      <c r="A1282" t="s">
        <v>254</v>
      </c>
      <c r="B1282" t="s">
        <v>822</v>
      </c>
      <c r="C1282" t="s">
        <v>823</v>
      </c>
      <c r="D1282" s="95">
        <f>Prices!$J$43</f>
        <v>260.79096045197741</v>
      </c>
      <c r="F1282">
        <v>44.46</v>
      </c>
      <c r="G1282" t="s">
        <v>824</v>
      </c>
      <c r="H1282" t="s">
        <v>12</v>
      </c>
      <c r="I1282" t="s">
        <v>823</v>
      </c>
      <c r="J1282" t="s">
        <v>13</v>
      </c>
    </row>
    <row r="1283" spans="1:11">
      <c r="A1283" t="s">
        <v>76</v>
      </c>
      <c r="B1283" t="s">
        <v>2018</v>
      </c>
      <c r="C1283" t="s">
        <v>2019</v>
      </c>
      <c r="D1283" s="95">
        <f>Prices!$J$43</f>
        <v>260.79096045197741</v>
      </c>
      <c r="F1283">
        <v>52.89</v>
      </c>
      <c r="G1283" t="s">
        <v>2020</v>
      </c>
      <c r="H1283" t="s">
        <v>12</v>
      </c>
      <c r="I1283" t="s">
        <v>2019</v>
      </c>
      <c r="J1283" t="s">
        <v>1610</v>
      </c>
      <c r="K1283" t="s">
        <v>2021</v>
      </c>
    </row>
    <row r="1284" spans="1:11">
      <c r="A1284" t="s">
        <v>76</v>
      </c>
      <c r="B1284" t="s">
        <v>844</v>
      </c>
      <c r="C1284" t="s">
        <v>845</v>
      </c>
      <c r="D1284" s="95">
        <f>Prices!$J$43</f>
        <v>260.79096045197741</v>
      </c>
      <c r="F1284">
        <v>0.18</v>
      </c>
      <c r="G1284" t="s">
        <v>846</v>
      </c>
      <c r="H1284" t="s">
        <v>12</v>
      </c>
      <c r="I1284" t="s">
        <v>845</v>
      </c>
      <c r="J1284" t="s">
        <v>13</v>
      </c>
      <c r="K1284" t="s">
        <v>847</v>
      </c>
    </row>
    <row r="1285" spans="1:11">
      <c r="A1285" t="s">
        <v>254</v>
      </c>
      <c r="B1285" t="s">
        <v>1692</v>
      </c>
      <c r="C1285" t="s">
        <v>1693</v>
      </c>
      <c r="D1285" s="95">
        <f>Prices!$J$43</f>
        <v>260.79096045197741</v>
      </c>
      <c r="F1285">
        <v>114.32</v>
      </c>
      <c r="G1285" t="s">
        <v>4124</v>
      </c>
      <c r="H1285" t="s">
        <v>12</v>
      </c>
      <c r="I1285" t="s">
        <v>1693</v>
      </c>
      <c r="J1285" t="s">
        <v>1610</v>
      </c>
      <c r="K1285" t="s">
        <v>4125</v>
      </c>
    </row>
    <row r="1286" spans="1:11">
      <c r="A1286" t="s">
        <v>254</v>
      </c>
      <c r="B1286" t="s">
        <v>412</v>
      </c>
      <c r="C1286" t="s">
        <v>413</v>
      </c>
      <c r="D1286" s="95">
        <f>Prices!$J$43</f>
        <v>260.79096045197741</v>
      </c>
      <c r="F1286">
        <v>106.9</v>
      </c>
      <c r="G1286" t="s">
        <v>414</v>
      </c>
      <c r="H1286" t="s">
        <v>12</v>
      </c>
      <c r="I1286" t="s">
        <v>413</v>
      </c>
      <c r="J1286" t="s">
        <v>13</v>
      </c>
      <c r="K1286" t="s">
        <v>415</v>
      </c>
    </row>
    <row r="1287" spans="1:11">
      <c r="A1287" t="s">
        <v>76</v>
      </c>
      <c r="B1287" t="s">
        <v>3237</v>
      </c>
      <c r="C1287" t="s">
        <v>3238</v>
      </c>
      <c r="D1287" s="95">
        <f>Prices!$J$43</f>
        <v>260.79096045197741</v>
      </c>
      <c r="F1287">
        <v>0</v>
      </c>
      <c r="G1287" t="s">
        <v>3239</v>
      </c>
      <c r="I1287" t="s">
        <v>3238</v>
      </c>
      <c r="J1287" t="s">
        <v>1610</v>
      </c>
      <c r="K1287" t="s">
        <v>3240</v>
      </c>
    </row>
    <row r="1288" spans="1:11">
      <c r="A1288" t="s">
        <v>254</v>
      </c>
      <c r="B1288" t="s">
        <v>4091</v>
      </c>
      <c r="C1288" t="s">
        <v>1694</v>
      </c>
      <c r="D1288" s="95">
        <f>Prices!$J$43</f>
        <v>260.79096045197741</v>
      </c>
      <c r="F1288">
        <v>22.44</v>
      </c>
      <c r="G1288" t="s">
        <v>4092</v>
      </c>
      <c r="H1288" t="s">
        <v>12</v>
      </c>
      <c r="I1288" t="s">
        <v>1694</v>
      </c>
      <c r="J1288" t="s">
        <v>1610</v>
      </c>
    </row>
    <row r="1289" spans="1:11">
      <c r="A1289" t="s">
        <v>254</v>
      </c>
      <c r="B1289" t="s">
        <v>848</v>
      </c>
      <c r="C1289" t="s">
        <v>849</v>
      </c>
      <c r="D1289" s="95">
        <f>Prices!$J$43</f>
        <v>260.79096045197741</v>
      </c>
      <c r="F1289">
        <v>105.6</v>
      </c>
      <c r="G1289" t="s">
        <v>902</v>
      </c>
      <c r="H1289" t="s">
        <v>12</v>
      </c>
      <c r="I1289" t="s">
        <v>849</v>
      </c>
      <c r="J1289" t="s">
        <v>13</v>
      </c>
      <c r="K1289" t="s">
        <v>903</v>
      </c>
    </row>
    <row r="1290" spans="1:11">
      <c r="A1290" t="s">
        <v>76</v>
      </c>
      <c r="B1290" t="s">
        <v>3391</v>
      </c>
      <c r="C1290" t="s">
        <v>3392</v>
      </c>
      <c r="D1290" s="95">
        <f>Prices!$J$43</f>
        <v>260.79096045197741</v>
      </c>
      <c r="F1290">
        <v>0</v>
      </c>
      <c r="G1290" t="s">
        <v>3393</v>
      </c>
      <c r="I1290" t="s">
        <v>3392</v>
      </c>
      <c r="J1290" t="s">
        <v>1610</v>
      </c>
      <c r="K1290" t="s">
        <v>3394</v>
      </c>
    </row>
    <row r="1291" spans="1:11">
      <c r="A1291" t="s">
        <v>10</v>
      </c>
      <c r="B1291" t="s">
        <v>2671</v>
      </c>
      <c r="C1291" t="s">
        <v>1695</v>
      </c>
      <c r="D1291" s="95">
        <f>Prices!$J$43</f>
        <v>260.79096045197741</v>
      </c>
      <c r="F1291">
        <v>3.56</v>
      </c>
      <c r="G1291" t="s">
        <v>2672</v>
      </c>
      <c r="H1291" t="s">
        <v>308</v>
      </c>
      <c r="I1291" t="s">
        <v>1695</v>
      </c>
      <c r="J1291" t="s">
        <v>1610</v>
      </c>
    </row>
    <row r="1292" spans="1:11">
      <c r="A1292" t="s">
        <v>254</v>
      </c>
      <c r="B1292" t="s">
        <v>255</v>
      </c>
      <c r="C1292" t="s">
        <v>256</v>
      </c>
      <c r="D1292" s="95">
        <f>Prices!$J$43</f>
        <v>260.79096045197741</v>
      </c>
      <c r="F1292">
        <v>125.57</v>
      </c>
      <c r="G1292" t="s">
        <v>257</v>
      </c>
      <c r="H1292" t="s">
        <v>12</v>
      </c>
      <c r="I1292" t="s">
        <v>256</v>
      </c>
      <c r="J1292" t="s">
        <v>13</v>
      </c>
    </row>
    <row r="1293" spans="1:11">
      <c r="A1293" t="s">
        <v>254</v>
      </c>
      <c r="B1293" t="s">
        <v>1696</v>
      </c>
      <c r="C1293" t="s">
        <v>1697</v>
      </c>
      <c r="D1293" s="95">
        <f>Prices!$J$43</f>
        <v>260.79096045197741</v>
      </c>
      <c r="F1293">
        <v>124.11</v>
      </c>
      <c r="G1293" t="s">
        <v>2855</v>
      </c>
      <c r="H1293" t="s">
        <v>12</v>
      </c>
      <c r="I1293" t="s">
        <v>1697</v>
      </c>
      <c r="J1293" t="s">
        <v>1610</v>
      </c>
    </row>
    <row r="1294" spans="1:11">
      <c r="A1294" t="s">
        <v>254</v>
      </c>
      <c r="B1294" t="s">
        <v>802</v>
      </c>
      <c r="C1294" t="s">
        <v>803</v>
      </c>
      <c r="D1294" s="95">
        <f>Prices!$J$43</f>
        <v>260.79096045197741</v>
      </c>
      <c r="F1294">
        <v>47.81</v>
      </c>
      <c r="G1294" t="s">
        <v>804</v>
      </c>
      <c r="H1294" t="s">
        <v>12</v>
      </c>
      <c r="I1294" t="s">
        <v>803</v>
      </c>
      <c r="J1294" t="s">
        <v>13</v>
      </c>
      <c r="K1294" t="s">
        <v>805</v>
      </c>
    </row>
    <row r="1295" spans="1:11">
      <c r="A1295" t="s">
        <v>254</v>
      </c>
      <c r="B1295" t="s">
        <v>3698</v>
      </c>
      <c r="C1295" t="s">
        <v>1698</v>
      </c>
      <c r="D1295" s="95">
        <f>Prices!$J$43</f>
        <v>260.79096045197741</v>
      </c>
      <c r="F1295">
        <v>63.12</v>
      </c>
      <c r="G1295" t="s">
        <v>3699</v>
      </c>
      <c r="H1295" t="s">
        <v>12</v>
      </c>
      <c r="I1295" t="s">
        <v>1698</v>
      </c>
      <c r="J1295" t="s">
        <v>1610</v>
      </c>
    </row>
    <row r="1296" spans="1:11">
      <c r="A1296" t="s">
        <v>254</v>
      </c>
      <c r="B1296" t="s">
        <v>2792</v>
      </c>
      <c r="C1296" t="s">
        <v>1699</v>
      </c>
      <c r="D1296" s="95">
        <f>Prices!$J$43</f>
        <v>260.79096045197741</v>
      </c>
      <c r="F1296">
        <v>206.98</v>
      </c>
      <c r="G1296" t="s">
        <v>2793</v>
      </c>
      <c r="H1296" t="s">
        <v>12</v>
      </c>
      <c r="I1296" t="s">
        <v>1699</v>
      </c>
      <c r="J1296" t="s">
        <v>1610</v>
      </c>
    </row>
    <row r="1297" spans="1:11">
      <c r="A1297" t="s">
        <v>254</v>
      </c>
      <c r="B1297" t="s">
        <v>402</v>
      </c>
      <c r="C1297" t="s">
        <v>403</v>
      </c>
      <c r="D1297" s="95">
        <f>Prices!$J$43</f>
        <v>260.79096045197741</v>
      </c>
      <c r="F1297">
        <v>98.5</v>
      </c>
      <c r="G1297" t="s">
        <v>404</v>
      </c>
      <c r="H1297" t="s">
        <v>12</v>
      </c>
      <c r="I1297" t="s">
        <v>403</v>
      </c>
      <c r="J1297" t="s">
        <v>13</v>
      </c>
    </row>
    <row r="1298" spans="1:11">
      <c r="A1298" t="s">
        <v>76</v>
      </c>
      <c r="B1298" t="s">
        <v>3253</v>
      </c>
      <c r="C1298" t="s">
        <v>3254</v>
      </c>
      <c r="D1298" s="95">
        <f>Prices!$J$43</f>
        <v>260.79096045197741</v>
      </c>
      <c r="F1298">
        <v>0</v>
      </c>
      <c r="G1298" t="s">
        <v>3255</v>
      </c>
      <c r="I1298" t="s">
        <v>3254</v>
      </c>
      <c r="J1298" t="s">
        <v>1610</v>
      </c>
      <c r="K1298" t="s">
        <v>3256</v>
      </c>
    </row>
    <row r="1299" spans="1:11">
      <c r="A1299" t="s">
        <v>76</v>
      </c>
      <c r="B1299" t="s">
        <v>3326</v>
      </c>
      <c r="C1299" t="s">
        <v>3327</v>
      </c>
      <c r="D1299" s="95">
        <f>Prices!$J$43</f>
        <v>260.79096045197741</v>
      </c>
      <c r="F1299">
        <v>0</v>
      </c>
      <c r="G1299" t="s">
        <v>3328</v>
      </c>
      <c r="I1299" t="s">
        <v>3327</v>
      </c>
      <c r="J1299" t="s">
        <v>1610</v>
      </c>
      <c r="K1299" t="s">
        <v>3329</v>
      </c>
    </row>
    <row r="1300" spans="1:11">
      <c r="A1300" t="s">
        <v>254</v>
      </c>
      <c r="B1300" t="s">
        <v>1700</v>
      </c>
      <c r="C1300" t="s">
        <v>1701</v>
      </c>
      <c r="D1300" s="95">
        <f>Prices!$J$43</f>
        <v>260.79096045197741</v>
      </c>
      <c r="F1300">
        <v>146.94999999999999</v>
      </c>
      <c r="G1300" t="s">
        <v>2484</v>
      </c>
      <c r="H1300" t="s">
        <v>12</v>
      </c>
      <c r="I1300" t="s">
        <v>1701</v>
      </c>
      <c r="J1300" t="s">
        <v>1610</v>
      </c>
      <c r="K1300" t="s">
        <v>2485</v>
      </c>
    </row>
    <row r="1301" spans="1:11">
      <c r="A1301" t="s">
        <v>76</v>
      </c>
      <c r="B1301" t="s">
        <v>853</v>
      </c>
      <c r="C1301" t="s">
        <v>854</v>
      </c>
      <c r="D1301" s="95">
        <f>Prices!$J$43</f>
        <v>260.79096045197741</v>
      </c>
      <c r="F1301">
        <v>36.19</v>
      </c>
      <c r="G1301" t="s">
        <v>855</v>
      </c>
      <c r="H1301" t="s">
        <v>12</v>
      </c>
      <c r="I1301" t="s">
        <v>854</v>
      </c>
      <c r="J1301" t="s">
        <v>13</v>
      </c>
      <c r="K1301" t="s">
        <v>856</v>
      </c>
    </row>
    <row r="1302" spans="1:11">
      <c r="A1302" t="s">
        <v>254</v>
      </c>
      <c r="B1302" t="s">
        <v>1702</v>
      </c>
      <c r="C1302" t="s">
        <v>1703</v>
      </c>
      <c r="D1302" s="95">
        <f>Prices!$J$43</f>
        <v>260.79096045197741</v>
      </c>
      <c r="F1302">
        <v>71.34</v>
      </c>
      <c r="G1302" t="s">
        <v>4131</v>
      </c>
      <c r="H1302" t="s">
        <v>12</v>
      </c>
      <c r="I1302" t="s">
        <v>1703</v>
      </c>
      <c r="J1302" t="s">
        <v>1610</v>
      </c>
      <c r="K1302" t="s">
        <v>4132</v>
      </c>
    </row>
    <row r="1303" spans="1:11">
      <c r="A1303" t="s">
        <v>76</v>
      </c>
      <c r="B1303" t="s">
        <v>857</v>
      </c>
      <c r="C1303" t="s">
        <v>858</v>
      </c>
      <c r="D1303" s="95">
        <f>Prices!$J$43</f>
        <v>260.79096045197741</v>
      </c>
      <c r="F1303">
        <v>406.32</v>
      </c>
      <c r="G1303" t="s">
        <v>859</v>
      </c>
      <c r="H1303" t="s">
        <v>12</v>
      </c>
      <c r="I1303" t="s">
        <v>858</v>
      </c>
      <c r="J1303" t="s">
        <v>13</v>
      </c>
      <c r="K1303" t="s">
        <v>860</v>
      </c>
    </row>
    <row r="1304" spans="1:11">
      <c r="A1304" t="s">
        <v>76</v>
      </c>
      <c r="B1304" t="s">
        <v>3189</v>
      </c>
      <c r="C1304" t="s">
        <v>3190</v>
      </c>
      <c r="D1304" s="95">
        <f>Prices!$J$43</f>
        <v>260.79096045197741</v>
      </c>
      <c r="F1304">
        <v>0</v>
      </c>
      <c r="G1304" t="s">
        <v>3191</v>
      </c>
      <c r="I1304" t="s">
        <v>3190</v>
      </c>
      <c r="J1304" t="s">
        <v>1610</v>
      </c>
      <c r="K1304" t="s">
        <v>3192</v>
      </c>
    </row>
    <row r="1305" spans="1:11">
      <c r="A1305" t="s">
        <v>76</v>
      </c>
      <c r="B1305" t="s">
        <v>696</v>
      </c>
      <c r="C1305" t="s">
        <v>697</v>
      </c>
      <c r="D1305" s="95">
        <f>Prices!$J$43</f>
        <v>260.79096045197741</v>
      </c>
      <c r="F1305">
        <v>0</v>
      </c>
      <c r="G1305" t="s">
        <v>698</v>
      </c>
      <c r="I1305" t="s">
        <v>697</v>
      </c>
      <c r="J1305" t="s">
        <v>13</v>
      </c>
      <c r="K1305" t="s">
        <v>699</v>
      </c>
    </row>
    <row r="1306" spans="1:11">
      <c r="A1306" t="s">
        <v>254</v>
      </c>
      <c r="B1306" t="s">
        <v>1704</v>
      </c>
      <c r="C1306" t="s">
        <v>1705</v>
      </c>
      <c r="D1306" s="95">
        <f>Prices!$J$43</f>
        <v>260.79096045197741</v>
      </c>
      <c r="F1306">
        <v>66.099999999999994</v>
      </c>
      <c r="G1306" t="s">
        <v>4112</v>
      </c>
      <c r="H1306" t="s">
        <v>12</v>
      </c>
      <c r="I1306" t="s">
        <v>1705</v>
      </c>
      <c r="J1306" t="s">
        <v>1610</v>
      </c>
      <c r="K1306" t="s">
        <v>4113</v>
      </c>
    </row>
    <row r="1307" spans="1:11">
      <c r="A1307" t="s">
        <v>76</v>
      </c>
      <c r="B1307" t="s">
        <v>515</v>
      </c>
      <c r="C1307" t="s">
        <v>516</v>
      </c>
      <c r="D1307" s="95">
        <f>Prices!$J$43</f>
        <v>260.79096045197741</v>
      </c>
      <c r="F1307">
        <v>0</v>
      </c>
      <c r="G1307" t="s">
        <v>517</v>
      </c>
      <c r="I1307" t="s">
        <v>516</v>
      </c>
      <c r="J1307" t="s">
        <v>13</v>
      </c>
      <c r="K1307" t="s">
        <v>518</v>
      </c>
    </row>
    <row r="1308" spans="1:11">
      <c r="A1308" t="s">
        <v>76</v>
      </c>
      <c r="B1308" t="s">
        <v>2974</v>
      </c>
      <c r="C1308" t="s">
        <v>2975</v>
      </c>
      <c r="D1308" s="95">
        <f>Prices!$J$43</f>
        <v>260.79096045197741</v>
      </c>
      <c r="F1308">
        <v>0</v>
      </c>
      <c r="G1308" t="s">
        <v>2976</v>
      </c>
      <c r="I1308" t="s">
        <v>2975</v>
      </c>
      <c r="J1308" t="s">
        <v>1610</v>
      </c>
      <c r="K1308" t="s">
        <v>2977</v>
      </c>
    </row>
    <row r="1309" spans="1:11">
      <c r="A1309" t="s">
        <v>76</v>
      </c>
      <c r="B1309" t="s">
        <v>491</v>
      </c>
      <c r="C1309" t="s">
        <v>492</v>
      </c>
      <c r="D1309" s="95">
        <f>Prices!$J$43</f>
        <v>260.79096045197741</v>
      </c>
      <c r="F1309">
        <v>0</v>
      </c>
      <c r="G1309" t="s">
        <v>493</v>
      </c>
      <c r="I1309" t="s">
        <v>492</v>
      </c>
      <c r="J1309" t="s">
        <v>13</v>
      </c>
      <c r="K1309" t="s">
        <v>494</v>
      </c>
    </row>
    <row r="1310" spans="1:11">
      <c r="A1310" t="s">
        <v>10</v>
      </c>
      <c r="B1310" t="s">
        <v>4157</v>
      </c>
      <c r="C1310" t="s">
        <v>4158</v>
      </c>
      <c r="D1310" s="95">
        <f>Prices!$J$43</f>
        <v>260.79096045197741</v>
      </c>
      <c r="F1310">
        <v>31.55</v>
      </c>
      <c r="G1310" t="s">
        <v>4159</v>
      </c>
      <c r="H1310" t="s">
        <v>12</v>
      </c>
      <c r="I1310" t="s">
        <v>4158</v>
      </c>
      <c r="J1310" t="s">
        <v>1610</v>
      </c>
    </row>
    <row r="1311" spans="1:11">
      <c r="A1311" t="s">
        <v>76</v>
      </c>
      <c r="B1311" t="s">
        <v>1706</v>
      </c>
      <c r="C1311" t="s">
        <v>1707</v>
      </c>
      <c r="D1311" s="95">
        <f>Prices!$J$43</f>
        <v>260.79096045197741</v>
      </c>
      <c r="F1311">
        <v>269.58</v>
      </c>
      <c r="G1311" t="s">
        <v>3700</v>
      </c>
      <c r="H1311" t="s">
        <v>12</v>
      </c>
      <c r="I1311" t="s">
        <v>1707</v>
      </c>
      <c r="J1311" t="s">
        <v>1610</v>
      </c>
      <c r="K1311" t="s">
        <v>3701</v>
      </c>
    </row>
    <row r="1312" spans="1:11">
      <c r="A1312" t="s">
        <v>76</v>
      </c>
      <c r="B1312" t="s">
        <v>704</v>
      </c>
      <c r="C1312" t="s">
        <v>705</v>
      </c>
      <c r="D1312" s="95">
        <f>Prices!$J$43</f>
        <v>260.79096045197741</v>
      </c>
      <c r="F1312">
        <v>0</v>
      </c>
      <c r="G1312" t="s">
        <v>706</v>
      </c>
      <c r="I1312" t="s">
        <v>705</v>
      </c>
      <c r="J1312" t="s">
        <v>13</v>
      </c>
      <c r="K1312" t="s">
        <v>707</v>
      </c>
    </row>
    <row r="1313" spans="1:11">
      <c r="A1313" t="s">
        <v>76</v>
      </c>
      <c r="B1313" t="s">
        <v>2986</v>
      </c>
      <c r="C1313" t="s">
        <v>2987</v>
      </c>
      <c r="D1313" s="95">
        <f>Prices!$J$43</f>
        <v>260.79096045197741</v>
      </c>
      <c r="F1313">
        <v>0</v>
      </c>
      <c r="G1313" t="s">
        <v>2988</v>
      </c>
      <c r="I1313" t="s">
        <v>2987</v>
      </c>
      <c r="J1313" t="s">
        <v>1610</v>
      </c>
      <c r="K1313" t="s">
        <v>2989</v>
      </c>
    </row>
    <row r="1314" spans="1:11">
      <c r="A1314" t="s">
        <v>76</v>
      </c>
      <c r="B1314" t="s">
        <v>3311</v>
      </c>
      <c r="C1314" t="s">
        <v>3312</v>
      </c>
      <c r="D1314" s="95">
        <f>Prices!$J$43</f>
        <v>260.79096045197741</v>
      </c>
      <c r="F1314">
        <v>0</v>
      </c>
      <c r="G1314" t="s">
        <v>3313</v>
      </c>
      <c r="I1314" t="s">
        <v>3312</v>
      </c>
      <c r="J1314" t="s">
        <v>1610</v>
      </c>
      <c r="K1314" t="s">
        <v>3314</v>
      </c>
    </row>
    <row r="1315" spans="1:11">
      <c r="A1315" t="s">
        <v>254</v>
      </c>
      <c r="B1315" t="s">
        <v>3772</v>
      </c>
      <c r="C1315" t="s">
        <v>1708</v>
      </c>
      <c r="D1315" s="95">
        <f>Prices!$J$43</f>
        <v>260.79096045197741</v>
      </c>
      <c r="F1315">
        <v>81.569999999999993</v>
      </c>
      <c r="G1315" t="s">
        <v>3773</v>
      </c>
      <c r="H1315" t="s">
        <v>12</v>
      </c>
      <c r="I1315" t="s">
        <v>1708</v>
      </c>
      <c r="J1315" t="s">
        <v>1610</v>
      </c>
    </row>
    <row r="1316" spans="1:11">
      <c r="A1316" t="s">
        <v>76</v>
      </c>
      <c r="B1316" t="s">
        <v>161</v>
      </c>
      <c r="C1316" t="s">
        <v>162</v>
      </c>
      <c r="D1316" s="95">
        <f>Prices!$J$43</f>
        <v>260.79096045197741</v>
      </c>
      <c r="F1316">
        <v>0</v>
      </c>
      <c r="G1316" t="s">
        <v>163</v>
      </c>
      <c r="I1316" t="s">
        <v>162</v>
      </c>
      <c r="J1316" t="s">
        <v>13</v>
      </c>
      <c r="K1316" t="s">
        <v>164</v>
      </c>
    </row>
    <row r="1317" spans="1:11">
      <c r="A1317" t="s">
        <v>76</v>
      </c>
      <c r="B1317" t="s">
        <v>1709</v>
      </c>
      <c r="C1317" t="s">
        <v>1710</v>
      </c>
      <c r="D1317" s="95">
        <f>Prices!$J$43</f>
        <v>260.79096045197741</v>
      </c>
      <c r="F1317">
        <v>103.3</v>
      </c>
      <c r="G1317" t="s">
        <v>1711</v>
      </c>
      <c r="H1317" t="s">
        <v>12</v>
      </c>
      <c r="I1317" t="s">
        <v>1710</v>
      </c>
      <c r="J1317" t="s">
        <v>1610</v>
      </c>
      <c r="K1317" t="s">
        <v>1712</v>
      </c>
    </row>
    <row r="1318" spans="1:11">
      <c r="A1318" t="s">
        <v>10</v>
      </c>
      <c r="B1318" t="s">
        <v>4316</v>
      </c>
      <c r="C1318" t="s">
        <v>4317</v>
      </c>
      <c r="D1318" s="95">
        <f>Prices!$J$43</f>
        <v>260.79096045197741</v>
      </c>
      <c r="F1318">
        <v>6.91</v>
      </c>
      <c r="G1318" t="s">
        <v>4318</v>
      </c>
      <c r="H1318" t="s">
        <v>12</v>
      </c>
      <c r="I1318" t="s">
        <v>4317</v>
      </c>
      <c r="J1318" t="s">
        <v>1610</v>
      </c>
    </row>
    <row r="1319" spans="1:11">
      <c r="A1319" t="s">
        <v>10</v>
      </c>
      <c r="B1319" t="s">
        <v>2732</v>
      </c>
      <c r="C1319" t="s">
        <v>2733</v>
      </c>
      <c r="D1319" s="95">
        <f>Prices!$J$43</f>
        <v>260.79096045197741</v>
      </c>
      <c r="F1319">
        <v>0.68</v>
      </c>
      <c r="G1319" t="s">
        <v>2734</v>
      </c>
      <c r="H1319" t="s">
        <v>12</v>
      </c>
      <c r="I1319" t="s">
        <v>2733</v>
      </c>
      <c r="J1319" t="s">
        <v>1610</v>
      </c>
      <c r="K1319" t="s">
        <v>2735</v>
      </c>
    </row>
    <row r="1320" spans="1:11">
      <c r="A1320" t="s">
        <v>10</v>
      </c>
      <c r="B1320" t="s">
        <v>2406</v>
      </c>
      <c r="C1320" t="s">
        <v>2407</v>
      </c>
      <c r="D1320" s="95">
        <f>Prices!$J$43</f>
        <v>260.79096045197741</v>
      </c>
      <c r="F1320">
        <v>403.09</v>
      </c>
      <c r="G1320" t="s">
        <v>2408</v>
      </c>
      <c r="H1320" t="s">
        <v>12</v>
      </c>
      <c r="I1320" t="s">
        <v>2407</v>
      </c>
      <c r="J1320" t="s">
        <v>1610</v>
      </c>
      <c r="K1320" t="s">
        <v>2409</v>
      </c>
    </row>
    <row r="1321" spans="1:11">
      <c r="A1321" t="s">
        <v>10</v>
      </c>
      <c r="B1321" t="s">
        <v>2780</v>
      </c>
      <c r="C1321" t="s">
        <v>2781</v>
      </c>
      <c r="D1321" s="95">
        <f>Prices!$J$43</f>
        <v>260.79096045197741</v>
      </c>
      <c r="F1321">
        <v>5.63</v>
      </c>
      <c r="G1321" t="s">
        <v>2782</v>
      </c>
      <c r="H1321" t="s">
        <v>12</v>
      </c>
      <c r="I1321" t="s">
        <v>2781</v>
      </c>
      <c r="J1321" t="s">
        <v>1610</v>
      </c>
      <c r="K1321" t="s">
        <v>2783</v>
      </c>
    </row>
    <row r="1322" spans="1:11">
      <c r="A1322" t="s">
        <v>10</v>
      </c>
      <c r="B1322" t="s">
        <v>2069</v>
      </c>
      <c r="C1322" t="s">
        <v>2070</v>
      </c>
      <c r="D1322" s="95">
        <f>Prices!$J$43</f>
        <v>260.79096045197741</v>
      </c>
      <c r="F1322">
        <v>20.46</v>
      </c>
      <c r="G1322" t="s">
        <v>2071</v>
      </c>
      <c r="H1322" t="s">
        <v>12</v>
      </c>
      <c r="I1322" t="s">
        <v>2070</v>
      </c>
      <c r="J1322" t="s">
        <v>1610</v>
      </c>
      <c r="K1322" t="s">
        <v>2072</v>
      </c>
    </row>
    <row r="1323" spans="1:11">
      <c r="A1323" t="s">
        <v>10</v>
      </c>
      <c r="B1323" t="s">
        <v>2388</v>
      </c>
      <c r="C1323" t="s">
        <v>2389</v>
      </c>
      <c r="D1323" s="95">
        <f>Prices!$J$43</f>
        <v>260.79096045197741</v>
      </c>
      <c r="F1323">
        <v>94.62</v>
      </c>
      <c r="G1323" t="s">
        <v>2390</v>
      </c>
      <c r="H1323" t="s">
        <v>12</v>
      </c>
      <c r="I1323" t="s">
        <v>2389</v>
      </c>
      <c r="J1323" t="s">
        <v>1610</v>
      </c>
      <c r="K1323" t="s">
        <v>2391</v>
      </c>
    </row>
    <row r="1324" spans="1:11">
      <c r="A1324" t="s">
        <v>10</v>
      </c>
      <c r="B1324" t="s">
        <v>3554</v>
      </c>
      <c r="C1324" t="s">
        <v>3555</v>
      </c>
      <c r="D1324" s="95">
        <f>Prices!$J$43</f>
        <v>260.79096045197741</v>
      </c>
      <c r="F1324">
        <v>3.05</v>
      </c>
      <c r="G1324" t="s">
        <v>3556</v>
      </c>
      <c r="H1324" t="s">
        <v>12</v>
      </c>
      <c r="I1324" t="s">
        <v>3555</v>
      </c>
      <c r="J1324" t="s">
        <v>1610</v>
      </c>
    </row>
    <row r="1325" spans="1:11">
      <c r="A1325" t="s">
        <v>10</v>
      </c>
      <c r="B1325" t="s">
        <v>2392</v>
      </c>
      <c r="C1325" t="s">
        <v>2393</v>
      </c>
      <c r="D1325" s="95">
        <f>Prices!$J$43</f>
        <v>260.79096045197741</v>
      </c>
      <c r="F1325">
        <v>56.84</v>
      </c>
      <c r="G1325" t="s">
        <v>2394</v>
      </c>
      <c r="H1325" t="s">
        <v>12</v>
      </c>
      <c r="I1325" t="s">
        <v>2393</v>
      </c>
      <c r="J1325" t="s">
        <v>1610</v>
      </c>
      <c r="K1325" t="s">
        <v>2395</v>
      </c>
    </row>
    <row r="1326" spans="1:11">
      <c r="A1326" t="s">
        <v>10</v>
      </c>
      <c r="B1326" t="s">
        <v>2093</v>
      </c>
      <c r="C1326" t="s">
        <v>2094</v>
      </c>
      <c r="D1326" s="95">
        <f>Prices!$J$43</f>
        <v>260.79096045197741</v>
      </c>
      <c r="F1326">
        <v>25.82</v>
      </c>
      <c r="G1326" t="s">
        <v>2095</v>
      </c>
      <c r="H1326" t="s">
        <v>12</v>
      </c>
      <c r="I1326" t="s">
        <v>2094</v>
      </c>
      <c r="J1326" t="s">
        <v>1610</v>
      </c>
      <c r="K1326" t="s">
        <v>2096</v>
      </c>
    </row>
    <row r="1327" spans="1:11">
      <c r="A1327" t="s">
        <v>10</v>
      </c>
      <c r="B1327" t="s">
        <v>2040</v>
      </c>
      <c r="C1327" t="s">
        <v>2041</v>
      </c>
      <c r="D1327" s="95">
        <f>Prices!$J$43</f>
        <v>260.79096045197741</v>
      </c>
      <c r="F1327">
        <v>51.45</v>
      </c>
      <c r="G1327" t="s">
        <v>2042</v>
      </c>
      <c r="H1327" t="s">
        <v>12</v>
      </c>
      <c r="I1327" t="s">
        <v>2041</v>
      </c>
      <c r="J1327" t="s">
        <v>1610</v>
      </c>
      <c r="K1327" t="s">
        <v>2043</v>
      </c>
    </row>
    <row r="1328" spans="1:11">
      <c r="A1328" t="s">
        <v>103</v>
      </c>
      <c r="B1328">
        <v>8.9</v>
      </c>
      <c r="C1328">
        <v>0</v>
      </c>
      <c r="D1328"/>
      <c r="F1328" t="s">
        <v>105</v>
      </c>
      <c r="H1328" t="s">
        <v>104</v>
      </c>
      <c r="I1328" t="s">
        <v>13</v>
      </c>
      <c r="J1328" t="s">
        <v>106</v>
      </c>
    </row>
    <row r="1329" spans="1:4">
      <c r="A1329" t="s">
        <v>48</v>
      </c>
      <c r="B1329" t="s">
        <v>102</v>
      </c>
      <c r="D1329"/>
    </row>
    <row r="1330" spans="1:4">
      <c r="D1330"/>
    </row>
    <row r="1331" spans="1:4">
      <c r="D1331"/>
    </row>
    <row r="1332" spans="1:4">
      <c r="D1332"/>
    </row>
    <row r="1333" spans="1:4">
      <c r="D1333"/>
    </row>
    <row r="1334" spans="1:4">
      <c r="D1334"/>
    </row>
    <row r="1335" spans="1:4">
      <c r="D1335"/>
    </row>
    <row r="1336" spans="1:4">
      <c r="D1336"/>
    </row>
    <row r="1337" spans="1:4">
      <c r="D1337"/>
    </row>
    <row r="1338" spans="1:4">
      <c r="D1338"/>
    </row>
    <row r="1339" spans="1:4">
      <c r="D1339"/>
    </row>
    <row r="1340" spans="1:4">
      <c r="D1340"/>
    </row>
    <row r="1341" spans="1:4">
      <c r="D1341"/>
    </row>
    <row r="1342" spans="1:4">
      <c r="D1342"/>
    </row>
    <row r="1343" spans="1:4">
      <c r="D1343"/>
    </row>
    <row r="1344" spans="1:4">
      <c r="D1344"/>
    </row>
    <row r="1345" spans="4:4">
      <c r="D1345"/>
    </row>
    <row r="1346" spans="4:4">
      <c r="D1346"/>
    </row>
    <row r="1347" spans="4:4">
      <c r="D1347"/>
    </row>
    <row r="1348" spans="4:4">
      <c r="D1348"/>
    </row>
    <row r="1349" spans="4:4">
      <c r="D1349"/>
    </row>
    <row r="1350" spans="4:4">
      <c r="D1350"/>
    </row>
    <row r="1351" spans="4:4">
      <c r="D1351"/>
    </row>
    <row r="1352" spans="4:4">
      <c r="D1352"/>
    </row>
    <row r="1353" spans="4:4">
      <c r="D1353"/>
    </row>
    <row r="1354" spans="4:4">
      <c r="D1354"/>
    </row>
    <row r="1355" spans="4:4">
      <c r="D1355"/>
    </row>
    <row r="1356" spans="4:4">
      <c r="D1356"/>
    </row>
    <row r="1357" spans="4:4">
      <c r="D1357"/>
    </row>
    <row r="1358" spans="4:4">
      <c r="D1358"/>
    </row>
    <row r="1359" spans="4:4">
      <c r="D1359"/>
    </row>
    <row r="1360" spans="4:4">
      <c r="D1360"/>
    </row>
    <row r="1361" spans="4:4">
      <c r="D1361"/>
    </row>
    <row r="1362" spans="4:4">
      <c r="D1362"/>
    </row>
    <row r="1363" spans="4:4">
      <c r="D1363"/>
    </row>
    <row r="1364" spans="4:4">
      <c r="D1364"/>
    </row>
    <row r="1365" spans="4:4">
      <c r="D1365"/>
    </row>
    <row r="1366" spans="4:4">
      <c r="D1366"/>
    </row>
    <row r="1367" spans="4:4">
      <c r="D1367"/>
    </row>
    <row r="1368" spans="4:4">
      <c r="D1368"/>
    </row>
    <row r="1369" spans="4:4">
      <c r="D1369"/>
    </row>
    <row r="1370" spans="4:4">
      <c r="D1370"/>
    </row>
    <row r="1371" spans="4:4">
      <c r="D1371"/>
    </row>
    <row r="1372" spans="4:4">
      <c r="D1372"/>
    </row>
    <row r="1373" spans="4:4">
      <c r="D1373"/>
    </row>
    <row r="1374" spans="4:4">
      <c r="D1374"/>
    </row>
    <row r="1375" spans="4:4">
      <c r="D1375"/>
    </row>
    <row r="1376" spans="4:4">
      <c r="D1376"/>
    </row>
    <row r="1377" spans="4:4">
      <c r="D1377"/>
    </row>
    <row r="1378" spans="4:4">
      <c r="D1378"/>
    </row>
    <row r="1379" spans="4:4">
      <c r="D1379"/>
    </row>
    <row r="1380" spans="4:4">
      <c r="D1380"/>
    </row>
    <row r="1381" spans="4:4">
      <c r="D1381"/>
    </row>
    <row r="1382" spans="4:4">
      <c r="D1382"/>
    </row>
    <row r="1383" spans="4:4">
      <c r="D1383"/>
    </row>
    <row r="1384" spans="4:4">
      <c r="D1384"/>
    </row>
    <row r="1385" spans="4:4">
      <c r="D1385"/>
    </row>
    <row r="1386" spans="4:4">
      <c r="D1386"/>
    </row>
    <row r="1387" spans="4:4">
      <c r="D1387"/>
    </row>
    <row r="1388" spans="4:4">
      <c r="D1388"/>
    </row>
    <row r="1389" spans="4:4">
      <c r="D1389"/>
    </row>
    <row r="1390" spans="4:4">
      <c r="D1390"/>
    </row>
    <row r="1391" spans="4:4">
      <c r="D1391"/>
    </row>
    <row r="1392" spans="4:4">
      <c r="D1392"/>
    </row>
    <row r="1393" spans="4:4">
      <c r="D1393"/>
    </row>
    <row r="1394" spans="4:4">
      <c r="D1394"/>
    </row>
    <row r="1395" spans="4:4">
      <c r="D1395"/>
    </row>
    <row r="1396" spans="4:4">
      <c r="D1396"/>
    </row>
    <row r="1397" spans="4:4">
      <c r="D1397"/>
    </row>
    <row r="1398" spans="4:4">
      <c r="D1398"/>
    </row>
    <row r="1399" spans="4:4">
      <c r="D1399"/>
    </row>
    <row r="1400" spans="4:4">
      <c r="D1400"/>
    </row>
    <row r="1401" spans="4:4">
      <c r="D1401"/>
    </row>
    <row r="1402" spans="4:4">
      <c r="D1402"/>
    </row>
    <row r="1403" spans="4:4">
      <c r="D1403"/>
    </row>
    <row r="1404" spans="4:4">
      <c r="D1404"/>
    </row>
    <row r="1405" spans="4:4">
      <c r="D1405"/>
    </row>
    <row r="1406" spans="4:4">
      <c r="D1406"/>
    </row>
    <row r="1407" spans="4:4">
      <c r="D1407"/>
    </row>
    <row r="1408" spans="4:4">
      <c r="D1408"/>
    </row>
    <row r="1409" spans="4:4">
      <c r="D1409"/>
    </row>
    <row r="1410" spans="4:4">
      <c r="D1410"/>
    </row>
    <row r="1411" spans="4:4">
      <c r="D1411"/>
    </row>
    <row r="1412" spans="4:4">
      <c r="D1412"/>
    </row>
    <row r="1413" spans="4:4">
      <c r="D1413"/>
    </row>
    <row r="1414" spans="4:4">
      <c r="D1414"/>
    </row>
    <row r="1415" spans="4:4">
      <c r="D1415"/>
    </row>
    <row r="1416" spans="4:4">
      <c r="D1416"/>
    </row>
    <row r="1417" spans="4:4">
      <c r="D1417"/>
    </row>
    <row r="1418" spans="4:4">
      <c r="D1418"/>
    </row>
    <row r="1419" spans="4:4">
      <c r="D1419"/>
    </row>
    <row r="1420" spans="4:4">
      <c r="D1420"/>
    </row>
    <row r="1421" spans="4:4">
      <c r="D1421"/>
    </row>
    <row r="1422" spans="4:4">
      <c r="D1422"/>
    </row>
    <row r="1423" spans="4:4">
      <c r="D1423"/>
    </row>
    <row r="1424" spans="4:4">
      <c r="D1424"/>
    </row>
    <row r="1425" spans="4:4">
      <c r="D1425"/>
    </row>
    <row r="1426" spans="4:4">
      <c r="D1426"/>
    </row>
    <row r="1427" spans="4:4">
      <c r="D1427"/>
    </row>
    <row r="1428" spans="4:4">
      <c r="D1428"/>
    </row>
    <row r="1429" spans="4:4">
      <c r="D1429"/>
    </row>
    <row r="1430" spans="4:4">
      <c r="D1430"/>
    </row>
    <row r="1431" spans="4:4">
      <c r="D1431"/>
    </row>
    <row r="1432" spans="4:4">
      <c r="D1432"/>
    </row>
    <row r="1433" spans="4:4">
      <c r="D1433"/>
    </row>
    <row r="1434" spans="4:4">
      <c r="D1434"/>
    </row>
    <row r="1435" spans="4:4">
      <c r="D1435"/>
    </row>
    <row r="1436" spans="4:4">
      <c r="D1436"/>
    </row>
    <row r="1437" spans="4:4">
      <c r="D1437"/>
    </row>
    <row r="1438" spans="4:4">
      <c r="D1438"/>
    </row>
    <row r="1439" spans="4:4">
      <c r="D1439"/>
    </row>
    <row r="1440" spans="4:4">
      <c r="D1440"/>
    </row>
    <row r="1441" spans="4:4">
      <c r="D1441"/>
    </row>
    <row r="1442" spans="4:4">
      <c r="D1442"/>
    </row>
    <row r="1443" spans="4:4">
      <c r="D1443"/>
    </row>
    <row r="1444" spans="4:4">
      <c r="D1444"/>
    </row>
    <row r="1445" spans="4:4">
      <c r="D1445"/>
    </row>
    <row r="1446" spans="4:4">
      <c r="D1446"/>
    </row>
    <row r="1447" spans="4:4">
      <c r="D1447"/>
    </row>
    <row r="1448" spans="4:4">
      <c r="D1448"/>
    </row>
    <row r="1449" spans="4:4">
      <c r="D1449"/>
    </row>
    <row r="1450" spans="4:4">
      <c r="D1450"/>
    </row>
    <row r="1451" spans="4:4">
      <c r="D1451"/>
    </row>
    <row r="1452" spans="4:4">
      <c r="D1452"/>
    </row>
    <row r="1453" spans="4:4">
      <c r="D1453"/>
    </row>
    <row r="1454" spans="4:4">
      <c r="D1454"/>
    </row>
    <row r="1455" spans="4:4">
      <c r="D1455"/>
    </row>
    <row r="1456" spans="4:4">
      <c r="D1456"/>
    </row>
    <row r="1457" spans="4:4">
      <c r="D1457"/>
    </row>
    <row r="1458" spans="4:4">
      <c r="D1458"/>
    </row>
    <row r="1459" spans="4:4">
      <c r="D1459"/>
    </row>
    <row r="1460" spans="4:4">
      <c r="D1460"/>
    </row>
    <row r="1461" spans="4:4">
      <c r="D1461"/>
    </row>
    <row r="1462" spans="4:4">
      <c r="D1462"/>
    </row>
    <row r="1463" spans="4:4">
      <c r="D1463"/>
    </row>
    <row r="1464" spans="4:4">
      <c r="D1464"/>
    </row>
    <row r="1465" spans="4:4">
      <c r="D1465"/>
    </row>
    <row r="1466" spans="4:4">
      <c r="D1466"/>
    </row>
    <row r="1467" spans="4:4">
      <c r="D1467"/>
    </row>
    <row r="1468" spans="4:4">
      <c r="D1468"/>
    </row>
    <row r="1469" spans="4:4">
      <c r="D1469"/>
    </row>
    <row r="1470" spans="4:4">
      <c r="D1470"/>
    </row>
    <row r="1471" spans="4:4">
      <c r="D1471"/>
    </row>
    <row r="1472" spans="4:4">
      <c r="D1472"/>
    </row>
    <row r="1473" spans="4:4">
      <c r="D1473"/>
    </row>
    <row r="1474" spans="4:4">
      <c r="D1474"/>
    </row>
    <row r="1475" spans="4:4">
      <c r="D1475"/>
    </row>
    <row r="1476" spans="4:4">
      <c r="D1476"/>
    </row>
    <row r="1477" spans="4:4">
      <c r="D1477"/>
    </row>
    <row r="1478" spans="4:4">
      <c r="D1478"/>
    </row>
    <row r="1479" spans="4:4">
      <c r="D1479"/>
    </row>
    <row r="1480" spans="4:4">
      <c r="D1480"/>
    </row>
    <row r="1481" spans="4:4">
      <c r="D1481"/>
    </row>
    <row r="1482" spans="4:4">
      <c r="D1482"/>
    </row>
    <row r="1483" spans="4:4">
      <c r="D1483"/>
    </row>
    <row r="1484" spans="4:4">
      <c r="D1484"/>
    </row>
    <row r="1485" spans="4:4">
      <c r="D1485"/>
    </row>
    <row r="1486" spans="4:4">
      <c r="D1486"/>
    </row>
    <row r="1487" spans="4:4">
      <c r="D1487"/>
    </row>
    <row r="1488" spans="4:4">
      <c r="D1488"/>
    </row>
    <row r="1489" spans="4:4">
      <c r="D1489"/>
    </row>
    <row r="1490" spans="4:4">
      <c r="D1490"/>
    </row>
    <row r="1491" spans="4:4">
      <c r="D1491"/>
    </row>
    <row r="1492" spans="4:4">
      <c r="D1492"/>
    </row>
    <row r="1493" spans="4:4">
      <c r="D1493"/>
    </row>
    <row r="1494" spans="4:4">
      <c r="D1494"/>
    </row>
    <row r="1495" spans="4:4">
      <c r="D1495"/>
    </row>
    <row r="1496" spans="4:4">
      <c r="D1496"/>
    </row>
    <row r="1497" spans="4:4">
      <c r="D1497"/>
    </row>
    <row r="1498" spans="4:4">
      <c r="D1498"/>
    </row>
    <row r="1499" spans="4:4">
      <c r="D1499"/>
    </row>
    <row r="1500" spans="4:4">
      <c r="D1500"/>
    </row>
    <row r="1501" spans="4:4">
      <c r="D1501"/>
    </row>
    <row r="1502" spans="4:4">
      <c r="D1502"/>
    </row>
    <row r="1503" spans="4:4">
      <c r="D1503"/>
    </row>
    <row r="1504" spans="4:4">
      <c r="D1504"/>
    </row>
    <row r="1505" spans="4:4">
      <c r="D1505"/>
    </row>
    <row r="1506" spans="4:4">
      <c r="D1506"/>
    </row>
    <row r="1507" spans="4:4">
      <c r="D1507"/>
    </row>
    <row r="1508" spans="4:4">
      <c r="D1508"/>
    </row>
    <row r="1509" spans="4:4">
      <c r="D1509"/>
    </row>
    <row r="1510" spans="4:4">
      <c r="D1510"/>
    </row>
    <row r="1511" spans="4:4">
      <c r="D1511"/>
    </row>
    <row r="1512" spans="4:4">
      <c r="D1512"/>
    </row>
    <row r="1513" spans="4:4">
      <c r="D1513"/>
    </row>
    <row r="1514" spans="4:4">
      <c r="D1514"/>
    </row>
    <row r="1515" spans="4:4">
      <c r="D1515"/>
    </row>
    <row r="1516" spans="4:4">
      <c r="D1516"/>
    </row>
    <row r="1517" spans="4:4">
      <c r="D1517"/>
    </row>
    <row r="1518" spans="4:4">
      <c r="D1518"/>
    </row>
    <row r="1519" spans="4:4">
      <c r="D1519"/>
    </row>
    <row r="1520" spans="4:4">
      <c r="D1520"/>
    </row>
    <row r="1521" spans="4:4">
      <c r="D1521"/>
    </row>
    <row r="1522" spans="4:4">
      <c r="D1522"/>
    </row>
    <row r="1523" spans="4:4">
      <c r="D1523"/>
    </row>
    <row r="1524" spans="4:4">
      <c r="D1524"/>
    </row>
    <row r="1525" spans="4:4">
      <c r="D1525"/>
    </row>
    <row r="1526" spans="4:4">
      <c r="D1526"/>
    </row>
    <row r="1527" spans="4:4">
      <c r="D1527"/>
    </row>
    <row r="1528" spans="4:4">
      <c r="D1528"/>
    </row>
    <row r="1529" spans="4:4">
      <c r="D1529"/>
    </row>
    <row r="1530" spans="4:4">
      <c r="D1530"/>
    </row>
    <row r="1531" spans="4:4">
      <c r="D1531"/>
    </row>
    <row r="1532" spans="4:4">
      <c r="D1532"/>
    </row>
    <row r="1533" spans="4:4">
      <c r="D1533"/>
    </row>
    <row r="1534" spans="4:4">
      <c r="D1534"/>
    </row>
    <row r="1535" spans="4:4">
      <c r="D1535"/>
    </row>
    <row r="1536" spans="4:4">
      <c r="D1536"/>
    </row>
    <row r="1537" spans="4:4">
      <c r="D1537"/>
    </row>
    <row r="1538" spans="4:4">
      <c r="D1538"/>
    </row>
    <row r="1539" spans="4:4">
      <c r="D1539"/>
    </row>
    <row r="1540" spans="4:4">
      <c r="D1540"/>
    </row>
    <row r="1541" spans="4:4">
      <c r="D1541"/>
    </row>
    <row r="1542" spans="4:4">
      <c r="D1542"/>
    </row>
    <row r="1543" spans="4:4">
      <c r="D1543"/>
    </row>
    <row r="1544" spans="4:4">
      <c r="D1544"/>
    </row>
    <row r="1545" spans="4:4">
      <c r="D1545"/>
    </row>
    <row r="1546" spans="4:4">
      <c r="D1546"/>
    </row>
    <row r="1547" spans="4:4">
      <c r="D1547"/>
    </row>
    <row r="1548" spans="4:4">
      <c r="D1548"/>
    </row>
    <row r="1549" spans="4:4">
      <c r="D1549"/>
    </row>
    <row r="1550" spans="4:4">
      <c r="D1550"/>
    </row>
    <row r="1551" spans="4:4">
      <c r="D1551"/>
    </row>
    <row r="1552" spans="4:4">
      <c r="D1552"/>
    </row>
    <row r="1553" spans="4:4">
      <c r="D1553"/>
    </row>
    <row r="1554" spans="4:4">
      <c r="D1554"/>
    </row>
    <row r="1555" spans="4:4">
      <c r="D1555"/>
    </row>
    <row r="1556" spans="4:4">
      <c r="D1556"/>
    </row>
    <row r="1557" spans="4:4">
      <c r="D1557"/>
    </row>
    <row r="1558" spans="4:4">
      <c r="D1558"/>
    </row>
    <row r="1559" spans="4:4">
      <c r="D1559"/>
    </row>
    <row r="1560" spans="4:4">
      <c r="D1560"/>
    </row>
    <row r="1561" spans="4:4">
      <c r="D1561"/>
    </row>
    <row r="1562" spans="4:4">
      <c r="D1562"/>
    </row>
    <row r="1563" spans="4:4">
      <c r="D1563"/>
    </row>
    <row r="1564" spans="4:4">
      <c r="D1564"/>
    </row>
    <row r="1565" spans="4:4">
      <c r="D1565"/>
    </row>
    <row r="1566" spans="4:4">
      <c r="D1566"/>
    </row>
    <row r="1567" spans="4:4">
      <c r="D1567"/>
    </row>
    <row r="1568" spans="4:4">
      <c r="D1568"/>
    </row>
    <row r="1569" spans="4:4">
      <c r="D1569"/>
    </row>
    <row r="1570" spans="4:4">
      <c r="D1570"/>
    </row>
    <row r="1571" spans="4:4">
      <c r="D1571"/>
    </row>
    <row r="1572" spans="4:4">
      <c r="D1572"/>
    </row>
    <row r="1573" spans="4:4">
      <c r="D1573"/>
    </row>
    <row r="1574" spans="4:4">
      <c r="D1574"/>
    </row>
    <row r="1575" spans="4:4">
      <c r="D1575"/>
    </row>
    <row r="1576" spans="4:4">
      <c r="D1576"/>
    </row>
    <row r="1577" spans="4:4">
      <c r="D1577"/>
    </row>
    <row r="1578" spans="4:4">
      <c r="D1578"/>
    </row>
    <row r="1579" spans="4:4">
      <c r="D1579"/>
    </row>
    <row r="1580" spans="4:4">
      <c r="D1580"/>
    </row>
    <row r="1581" spans="4:4">
      <c r="D1581"/>
    </row>
    <row r="1582" spans="4:4">
      <c r="D1582"/>
    </row>
    <row r="1583" spans="4:4">
      <c r="D1583"/>
    </row>
    <row r="1584" spans="4:4">
      <c r="D1584"/>
    </row>
    <row r="1585" spans="4:4">
      <c r="D1585"/>
    </row>
    <row r="1586" spans="4:4">
      <c r="D1586"/>
    </row>
    <row r="1587" spans="4:4">
      <c r="D1587"/>
    </row>
    <row r="1588" spans="4:4">
      <c r="D1588"/>
    </row>
    <row r="1589" spans="4:4">
      <c r="D1589"/>
    </row>
    <row r="1590" spans="4:4">
      <c r="D1590"/>
    </row>
    <row r="1591" spans="4:4">
      <c r="D1591"/>
    </row>
    <row r="1592" spans="4:4">
      <c r="D1592"/>
    </row>
    <row r="1593" spans="4:4">
      <c r="D1593"/>
    </row>
    <row r="1594" spans="4:4">
      <c r="D1594"/>
    </row>
    <row r="1595" spans="4:4">
      <c r="D1595"/>
    </row>
    <row r="1596" spans="4:4">
      <c r="D1596"/>
    </row>
    <row r="1597" spans="4:4">
      <c r="D1597"/>
    </row>
    <row r="1598" spans="4:4">
      <c r="D1598"/>
    </row>
    <row r="1599" spans="4:4">
      <c r="D1599"/>
    </row>
    <row r="1600" spans="4:4">
      <c r="D1600"/>
    </row>
    <row r="1601" spans="4:4">
      <c r="D1601"/>
    </row>
    <row r="1602" spans="4:4">
      <c r="D1602"/>
    </row>
    <row r="1603" spans="4:4">
      <c r="D1603"/>
    </row>
    <row r="1604" spans="4:4">
      <c r="D1604"/>
    </row>
    <row r="1605" spans="4:4">
      <c r="D1605"/>
    </row>
    <row r="1606" spans="4:4">
      <c r="D1606"/>
    </row>
    <row r="1607" spans="4:4">
      <c r="D1607"/>
    </row>
    <row r="1608" spans="4:4">
      <c r="D1608"/>
    </row>
    <row r="1609" spans="4:4">
      <c r="D1609"/>
    </row>
    <row r="1610" spans="4:4">
      <c r="D1610"/>
    </row>
    <row r="1611" spans="4:4">
      <c r="D1611"/>
    </row>
    <row r="1612" spans="4:4">
      <c r="D1612"/>
    </row>
    <row r="1613" spans="4:4">
      <c r="D1613"/>
    </row>
    <row r="1614" spans="4:4">
      <c r="D1614"/>
    </row>
    <row r="1615" spans="4:4">
      <c r="D1615"/>
    </row>
    <row r="1616" spans="4:4">
      <c r="D1616"/>
    </row>
    <row r="1617" spans="4:4">
      <c r="D1617"/>
    </row>
    <row r="1618" spans="4:4">
      <c r="D1618"/>
    </row>
    <row r="1619" spans="4:4">
      <c r="D1619"/>
    </row>
    <row r="1620" spans="4:4">
      <c r="D1620"/>
    </row>
    <row r="1621" spans="4:4">
      <c r="D1621"/>
    </row>
    <row r="1622" spans="4:4">
      <c r="D1622"/>
    </row>
    <row r="1623" spans="4:4">
      <c r="D1623"/>
    </row>
    <row r="1624" spans="4:4">
      <c r="D1624"/>
    </row>
    <row r="1625" spans="4:4">
      <c r="D1625"/>
    </row>
    <row r="1626" spans="4:4">
      <c r="D1626"/>
    </row>
    <row r="1627" spans="4:4">
      <c r="D1627"/>
    </row>
    <row r="1628" spans="4:4">
      <c r="D1628"/>
    </row>
    <row r="1629" spans="4:4">
      <c r="D1629"/>
    </row>
    <row r="1630" spans="4:4">
      <c r="D1630"/>
    </row>
    <row r="1631" spans="4:4">
      <c r="D1631"/>
    </row>
    <row r="1632" spans="4:4">
      <c r="D1632"/>
    </row>
    <row r="1633" spans="4:4">
      <c r="D1633"/>
    </row>
    <row r="1634" spans="4:4">
      <c r="D1634"/>
    </row>
    <row r="1635" spans="4:4">
      <c r="D1635"/>
    </row>
    <row r="1636" spans="4:4">
      <c r="D1636"/>
    </row>
    <row r="1637" spans="4:4">
      <c r="D1637"/>
    </row>
    <row r="1638" spans="4:4">
      <c r="D1638"/>
    </row>
    <row r="1639" spans="4:4">
      <c r="D1639"/>
    </row>
    <row r="1640" spans="4:4">
      <c r="D1640"/>
    </row>
    <row r="1641" spans="4:4">
      <c r="D1641"/>
    </row>
    <row r="1642" spans="4:4">
      <c r="D1642"/>
    </row>
    <row r="1643" spans="4:4">
      <c r="D1643"/>
    </row>
    <row r="1644" spans="4:4">
      <c r="D1644"/>
    </row>
    <row r="1645" spans="4:4">
      <c r="D1645"/>
    </row>
    <row r="1646" spans="4:4">
      <c r="D1646"/>
    </row>
    <row r="1647" spans="4:4">
      <c r="D1647"/>
    </row>
    <row r="1648" spans="4:4">
      <c r="D1648"/>
    </row>
    <row r="1649" spans="4:4">
      <c r="D1649"/>
    </row>
    <row r="1650" spans="4:4">
      <c r="D1650"/>
    </row>
    <row r="1651" spans="4:4">
      <c r="D1651"/>
    </row>
    <row r="1652" spans="4:4">
      <c r="D1652"/>
    </row>
    <row r="1653" spans="4:4">
      <c r="D1653"/>
    </row>
    <row r="1654" spans="4:4">
      <c r="D1654"/>
    </row>
    <row r="1655" spans="4:4">
      <c r="D1655"/>
    </row>
    <row r="1656" spans="4:4">
      <c r="D1656"/>
    </row>
    <row r="1657" spans="4:4">
      <c r="D1657"/>
    </row>
    <row r="1658" spans="4:4">
      <c r="D1658"/>
    </row>
    <row r="1659" spans="4:4">
      <c r="D1659"/>
    </row>
    <row r="1660" spans="4:4">
      <c r="D1660"/>
    </row>
    <row r="1661" spans="4:4">
      <c r="D1661"/>
    </row>
    <row r="1662" spans="4:4">
      <c r="D1662"/>
    </row>
    <row r="1663" spans="4:4">
      <c r="D1663"/>
    </row>
    <row r="1664" spans="4:4">
      <c r="D1664"/>
    </row>
    <row r="1665" spans="4:4">
      <c r="D1665"/>
    </row>
    <row r="1666" spans="4:4">
      <c r="D1666"/>
    </row>
    <row r="1667" spans="4:4">
      <c r="D1667"/>
    </row>
    <row r="1668" spans="4:4">
      <c r="D1668"/>
    </row>
    <row r="1669" spans="4:4">
      <c r="D1669"/>
    </row>
    <row r="1670" spans="4:4">
      <c r="D1670"/>
    </row>
    <row r="1671" spans="4:4">
      <c r="D1671"/>
    </row>
    <row r="1672" spans="4:4">
      <c r="D1672"/>
    </row>
    <row r="1673" spans="4:4">
      <c r="D1673"/>
    </row>
    <row r="1674" spans="4:4">
      <c r="D1674"/>
    </row>
    <row r="1675" spans="4:4">
      <c r="D1675"/>
    </row>
    <row r="1676" spans="4:4">
      <c r="D1676"/>
    </row>
    <row r="1677" spans="4:4">
      <c r="D1677"/>
    </row>
    <row r="1678" spans="4:4">
      <c r="D1678"/>
    </row>
    <row r="1679" spans="4:4">
      <c r="D1679"/>
    </row>
    <row r="1680" spans="4:4">
      <c r="D1680"/>
    </row>
    <row r="1681" spans="4:4">
      <c r="D1681"/>
    </row>
    <row r="1682" spans="4:4">
      <c r="D1682"/>
    </row>
    <row r="1683" spans="4:4">
      <c r="D1683"/>
    </row>
    <row r="1684" spans="4:4">
      <c r="D1684"/>
    </row>
    <row r="1685" spans="4:4">
      <c r="D1685"/>
    </row>
    <row r="1686" spans="4:4">
      <c r="D1686"/>
    </row>
    <row r="1687" spans="4:4">
      <c r="D1687"/>
    </row>
    <row r="1688" spans="4:4">
      <c r="D1688"/>
    </row>
    <row r="1689" spans="4:4">
      <c r="D1689"/>
    </row>
    <row r="1690" spans="4:4">
      <c r="D1690"/>
    </row>
    <row r="1691" spans="4:4">
      <c r="D1691"/>
    </row>
    <row r="1692" spans="4:4">
      <c r="D1692"/>
    </row>
    <row r="1693" spans="4:4">
      <c r="D1693"/>
    </row>
    <row r="1694" spans="4:4">
      <c r="D1694"/>
    </row>
    <row r="1695" spans="4:4">
      <c r="D1695"/>
    </row>
    <row r="1696" spans="4:4">
      <c r="D1696"/>
    </row>
    <row r="1697" spans="4:4">
      <c r="D1697"/>
    </row>
    <row r="1698" spans="4:4">
      <c r="D1698"/>
    </row>
    <row r="1699" spans="4:4">
      <c r="D1699"/>
    </row>
    <row r="1700" spans="4:4">
      <c r="D1700"/>
    </row>
    <row r="1701" spans="4:4">
      <c r="D1701"/>
    </row>
    <row r="1702" spans="4:4">
      <c r="D1702"/>
    </row>
    <row r="1703" spans="4:4">
      <c r="D1703"/>
    </row>
    <row r="1704" spans="4:4">
      <c r="D1704"/>
    </row>
    <row r="1705" spans="4:4">
      <c r="D1705"/>
    </row>
    <row r="1706" spans="4:4">
      <c r="D1706"/>
    </row>
    <row r="1707" spans="4:4">
      <c r="D1707"/>
    </row>
    <row r="1708" spans="4:4">
      <c r="D1708"/>
    </row>
    <row r="1709" spans="4:4">
      <c r="D1709"/>
    </row>
    <row r="1710" spans="4:4">
      <c r="D1710"/>
    </row>
    <row r="1711" spans="4:4">
      <c r="D1711"/>
    </row>
    <row r="1712" spans="4:4">
      <c r="D1712"/>
    </row>
    <row r="1713" spans="4:4">
      <c r="D1713"/>
    </row>
    <row r="1714" spans="4:4">
      <c r="D1714"/>
    </row>
    <row r="1715" spans="4:4">
      <c r="D1715"/>
    </row>
    <row r="1716" spans="4:4">
      <c r="D1716"/>
    </row>
    <row r="1717" spans="4:4">
      <c r="D1717"/>
    </row>
    <row r="1718" spans="4:4">
      <c r="D1718"/>
    </row>
    <row r="1719" spans="4:4">
      <c r="D1719"/>
    </row>
    <row r="1720" spans="4:4">
      <c r="D1720"/>
    </row>
    <row r="1721" spans="4:4">
      <c r="D1721"/>
    </row>
    <row r="1722" spans="4:4">
      <c r="D1722"/>
    </row>
    <row r="1723" spans="4:4">
      <c r="D1723"/>
    </row>
    <row r="1724" spans="4:4">
      <c r="D1724"/>
    </row>
    <row r="1725" spans="4:4">
      <c r="D1725"/>
    </row>
    <row r="1726" spans="4:4">
      <c r="D1726"/>
    </row>
    <row r="1727" spans="4:4">
      <c r="D1727"/>
    </row>
    <row r="1728" spans="4:4">
      <c r="D1728"/>
    </row>
    <row r="1729" spans="4:4">
      <c r="D1729"/>
    </row>
    <row r="1730" spans="4:4">
      <c r="D1730"/>
    </row>
    <row r="1731" spans="4:4">
      <c r="D1731"/>
    </row>
    <row r="1732" spans="4:4">
      <c r="D1732"/>
    </row>
    <row r="1733" spans="4:4">
      <c r="D1733"/>
    </row>
    <row r="1734" spans="4:4">
      <c r="D1734"/>
    </row>
    <row r="1735" spans="4:4">
      <c r="D1735"/>
    </row>
    <row r="1736" spans="4:4">
      <c r="D1736"/>
    </row>
    <row r="1737" spans="4:4">
      <c r="D1737"/>
    </row>
    <row r="1738" spans="4:4">
      <c r="D1738"/>
    </row>
    <row r="1739" spans="4:4">
      <c r="D1739"/>
    </row>
    <row r="1740" spans="4:4">
      <c r="D1740"/>
    </row>
  </sheetData>
  <sortState xmlns:xlrd2="http://schemas.microsoft.com/office/spreadsheetml/2017/richdata2" ref="A2:K1740">
    <sortCondition ref="I2:I17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</vt:lpstr>
      <vt:lpstr>Prices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Toback</dc:creator>
  <cp:lastModifiedBy>david@myrontoback.com</cp:lastModifiedBy>
  <dcterms:created xsi:type="dcterms:W3CDTF">2026-03-09T16:57:19Z</dcterms:created>
  <dcterms:modified xsi:type="dcterms:W3CDTF">2026-08-27T13:21:23Z</dcterms:modified>
</cp:coreProperties>
</file>