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17C4F673-1D9E-473A-A493-E620FEBE40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28" i="3"/>
  <c r="B27" i="3"/>
  <c r="F26" i="3"/>
  <c r="E26" i="3"/>
  <c r="B26" i="3"/>
  <c r="E25" i="3"/>
  <c r="F25" i="3" s="1"/>
  <c r="B25" i="3"/>
  <c r="F24" i="3"/>
  <c r="E23" i="3"/>
  <c r="F23" i="3" s="1"/>
  <c r="F22" i="3"/>
  <c r="F21" i="3"/>
  <c r="F20" i="3"/>
  <c r="D100" i="2"/>
  <c r="X479" i="1" s="1"/>
  <c r="D99" i="2"/>
  <c r="X498" i="1" s="1"/>
  <c r="D98" i="2"/>
  <c r="X487" i="1" s="1"/>
  <c r="D97" i="2"/>
  <c r="D101" i="2" s="1"/>
  <c r="G82" i="2"/>
  <c r="C78" i="2"/>
  <c r="C77" i="2"/>
  <c r="D71" i="2"/>
  <c r="N69" i="2"/>
  <c r="G69" i="2"/>
  <c r="D69" i="2"/>
  <c r="N68" i="2"/>
  <c r="C64" i="2"/>
  <c r="G63" i="2"/>
  <c r="C63" i="2"/>
  <c r="J60" i="2"/>
  <c r="K60" i="2" s="1"/>
  <c r="D60" i="2"/>
  <c r="E60" i="2" s="1"/>
  <c r="J59" i="2"/>
  <c r="K59" i="2" s="1"/>
  <c r="D59" i="2"/>
  <c r="E59" i="2" s="1"/>
  <c r="J58" i="2"/>
  <c r="K58" i="2" s="1"/>
  <c r="D58" i="2"/>
  <c r="E58" i="2" s="1"/>
  <c r="J57" i="2"/>
  <c r="E57" i="2"/>
  <c r="D57" i="2"/>
  <c r="X439" i="1" s="1"/>
  <c r="J54" i="2"/>
  <c r="K54" i="2" s="1"/>
  <c r="D54" i="2"/>
  <c r="E54" i="2" s="1"/>
  <c r="J53" i="2"/>
  <c r="K53" i="2" s="1"/>
  <c r="D53" i="2"/>
  <c r="E53" i="2" s="1"/>
  <c r="J52" i="2"/>
  <c r="K52" i="2" s="1"/>
  <c r="E52" i="2"/>
  <c r="D52" i="2"/>
  <c r="J51" i="2"/>
  <c r="K51" i="2" s="1"/>
  <c r="D51" i="2"/>
  <c r="E51" i="2" s="1"/>
  <c r="J45" i="2"/>
  <c r="K45" i="2" s="1"/>
  <c r="J43" i="2"/>
  <c r="K43" i="2" s="1"/>
  <c r="J39" i="2"/>
  <c r="K39" i="2" s="1"/>
  <c r="J37" i="2"/>
  <c r="K37" i="2" s="1"/>
  <c r="J35" i="2"/>
  <c r="K35" i="2" s="1"/>
  <c r="K33" i="2"/>
  <c r="J33" i="2"/>
  <c r="J29" i="2"/>
  <c r="K29" i="2" s="1"/>
  <c r="J27" i="2"/>
  <c r="K27" i="2" s="1"/>
  <c r="J25" i="2"/>
  <c r="K25" i="2" s="1"/>
  <c r="J23" i="2"/>
  <c r="K23" i="2" s="1"/>
  <c r="J21" i="2"/>
  <c r="K21" i="2" s="1"/>
  <c r="J19" i="2"/>
  <c r="J17" i="2"/>
  <c r="K17" i="2" s="1"/>
  <c r="K15" i="2"/>
  <c r="J15" i="2"/>
  <c r="J13" i="2"/>
  <c r="L11" i="2"/>
  <c r="J10" i="2" s="1"/>
  <c r="L10" i="2"/>
  <c r="D10" i="2"/>
  <c r="J9" i="2"/>
  <c r="D9" i="2"/>
  <c r="M8" i="2"/>
  <c r="L8" i="2"/>
  <c r="J8" i="2"/>
  <c r="J5" i="2"/>
  <c r="J4" i="2"/>
  <c r="X499" i="1"/>
  <c r="X497" i="1"/>
  <c r="X496" i="1"/>
  <c r="X495" i="1"/>
  <c r="X494" i="1"/>
  <c r="X493" i="1"/>
  <c r="X492" i="1"/>
  <c r="X491" i="1"/>
  <c r="X490" i="1"/>
  <c r="X489" i="1"/>
  <c r="X488" i="1"/>
  <c r="X485" i="1"/>
  <c r="X478" i="1"/>
  <c r="X477" i="1"/>
  <c r="X475" i="1"/>
  <c r="X473" i="1"/>
  <c r="X472" i="1"/>
  <c r="X470" i="1"/>
  <c r="X469" i="1"/>
  <c r="X468" i="1"/>
  <c r="X465" i="1"/>
  <c r="X464" i="1"/>
  <c r="X462" i="1"/>
  <c r="X460" i="1"/>
  <c r="X458" i="1"/>
  <c r="X457" i="1"/>
  <c r="X454" i="1"/>
  <c r="X453" i="1"/>
  <c r="X452" i="1"/>
  <c r="X449" i="1"/>
  <c r="X448" i="1"/>
  <c r="X446" i="1"/>
  <c r="X444" i="1"/>
  <c r="X442" i="1"/>
  <c r="X441" i="1"/>
  <c r="X440" i="1"/>
  <c r="X438" i="1"/>
  <c r="X437" i="1"/>
  <c r="X436" i="1"/>
  <c r="X434" i="1"/>
  <c r="X433" i="1"/>
  <c r="X432" i="1"/>
  <c r="X430" i="1"/>
  <c r="X429" i="1"/>
  <c r="X428" i="1"/>
  <c r="X426" i="1"/>
  <c r="X425" i="1"/>
  <c r="X424" i="1"/>
  <c r="X422" i="1"/>
  <c r="X421" i="1"/>
  <c r="X420" i="1"/>
  <c r="X418" i="1"/>
  <c r="X417" i="1"/>
  <c r="X416" i="1"/>
  <c r="X414" i="1"/>
  <c r="X413" i="1"/>
  <c r="X412" i="1"/>
  <c r="X410" i="1"/>
  <c r="X409" i="1"/>
  <c r="X408" i="1"/>
  <c r="X406" i="1"/>
  <c r="X405" i="1"/>
  <c r="X404" i="1"/>
  <c r="X402" i="1"/>
  <c r="X401" i="1"/>
  <c r="X400" i="1"/>
  <c r="X398" i="1"/>
  <c r="X397" i="1"/>
  <c r="X396" i="1"/>
  <c r="X394" i="1"/>
  <c r="X393" i="1"/>
  <c r="X392" i="1"/>
  <c r="X390" i="1"/>
  <c r="X389" i="1"/>
  <c r="X388" i="1"/>
  <c r="X386" i="1"/>
  <c r="X385" i="1"/>
  <c r="X384" i="1"/>
  <c r="X382" i="1"/>
  <c r="X381" i="1"/>
  <c r="X380" i="1"/>
  <c r="X378" i="1"/>
  <c r="X377" i="1"/>
  <c r="X376" i="1"/>
  <c r="X374" i="1"/>
  <c r="X373" i="1"/>
  <c r="X372" i="1"/>
  <c r="X370" i="1"/>
  <c r="X369" i="1"/>
  <c r="X368" i="1"/>
  <c r="X366" i="1"/>
  <c r="X365" i="1"/>
  <c r="X364" i="1"/>
  <c r="X362" i="1"/>
  <c r="X361" i="1"/>
  <c r="X360" i="1"/>
  <c r="X358" i="1"/>
  <c r="X357" i="1"/>
  <c r="X356" i="1"/>
  <c r="X354" i="1"/>
  <c r="X353" i="1"/>
  <c r="X352" i="1"/>
  <c r="X350" i="1"/>
  <c r="X349" i="1"/>
  <c r="X348" i="1"/>
  <c r="X346" i="1"/>
  <c r="X345" i="1"/>
  <c r="X344" i="1"/>
  <c r="X342" i="1"/>
  <c r="X341" i="1"/>
  <c r="X340" i="1"/>
  <c r="X338" i="1"/>
  <c r="X337" i="1"/>
  <c r="X336" i="1"/>
  <c r="X334" i="1"/>
  <c r="X333" i="1"/>
  <c r="X332" i="1"/>
  <c r="X330" i="1"/>
  <c r="X329" i="1"/>
  <c r="X328" i="1"/>
  <c r="X326" i="1"/>
  <c r="X325" i="1"/>
  <c r="X324" i="1"/>
  <c r="X322" i="1"/>
  <c r="X321" i="1"/>
  <c r="X320" i="1"/>
  <c r="X318" i="1"/>
  <c r="X317" i="1"/>
  <c r="X316" i="1"/>
  <c r="X314" i="1"/>
  <c r="X313" i="1"/>
  <c r="X312" i="1"/>
  <c r="X310" i="1"/>
  <c r="X309" i="1"/>
  <c r="X308" i="1"/>
  <c r="X306" i="1"/>
  <c r="X305" i="1"/>
  <c r="X304" i="1"/>
  <c r="X302" i="1"/>
  <c r="X301" i="1"/>
  <c r="X300" i="1"/>
  <c r="X298" i="1"/>
  <c r="X297" i="1"/>
  <c r="X296" i="1"/>
  <c r="X294" i="1"/>
  <c r="X293" i="1"/>
  <c r="X292" i="1"/>
  <c r="X290" i="1"/>
  <c r="X289" i="1"/>
  <c r="X288" i="1"/>
  <c r="X286" i="1"/>
  <c r="X285" i="1"/>
  <c r="X284" i="1"/>
  <c r="X282" i="1"/>
  <c r="X281" i="1"/>
  <c r="X280" i="1"/>
  <c r="X278" i="1"/>
  <c r="X277" i="1"/>
  <c r="X276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36" i="1"/>
  <c r="X35" i="1"/>
  <c r="X34" i="1"/>
  <c r="X33" i="1"/>
  <c r="X32" i="1"/>
  <c r="X31" i="1"/>
  <c r="X30" i="1"/>
  <c r="X29" i="1"/>
  <c r="X28" i="1"/>
  <c r="X27" i="1"/>
  <c r="X26" i="1"/>
  <c r="X24" i="1"/>
  <c r="X22" i="1"/>
  <c r="X20" i="1"/>
  <c r="X18" i="1"/>
  <c r="X16" i="1"/>
  <c r="X15" i="1"/>
  <c r="X14" i="1"/>
  <c r="X13" i="1"/>
  <c r="X12" i="1"/>
  <c r="X11" i="1"/>
  <c r="X10" i="1"/>
  <c r="X9" i="1"/>
  <c r="X483" i="1" l="1"/>
  <c r="X484" i="1"/>
  <c r="X482" i="1"/>
  <c r="X481" i="1"/>
  <c r="X480" i="1"/>
  <c r="X474" i="1"/>
  <c r="X500" i="1"/>
  <c r="X511" i="1"/>
  <c r="X512" i="1" s="1"/>
  <c r="X19" i="1"/>
  <c r="X23" i="1"/>
  <c r="D113" i="2"/>
  <c r="D107" i="2" s="1"/>
  <c r="D111" i="2"/>
  <c r="D105" i="2" s="1"/>
  <c r="G102" i="2"/>
  <c r="D91" i="2"/>
  <c r="D85" i="2"/>
  <c r="G91" i="2"/>
  <c r="G97" i="2"/>
  <c r="G99" i="2"/>
  <c r="G104" i="2"/>
  <c r="G110" i="2"/>
  <c r="G113" i="2"/>
  <c r="K13" i="2"/>
  <c r="X435" i="1"/>
  <c r="X431" i="1"/>
  <c r="X427" i="1"/>
  <c r="X423" i="1"/>
  <c r="X419" i="1"/>
  <c r="X415" i="1"/>
  <c r="X411" i="1"/>
  <c r="X407" i="1"/>
  <c r="X403" i="1"/>
  <c r="X399" i="1"/>
  <c r="X395" i="1"/>
  <c r="X391" i="1"/>
  <c r="X387" i="1"/>
  <c r="X383" i="1"/>
  <c r="X379" i="1"/>
  <c r="X471" i="1"/>
  <c r="X467" i="1"/>
  <c r="X463" i="1"/>
  <c r="X459" i="1"/>
  <c r="X455" i="1"/>
  <c r="X451" i="1"/>
  <c r="X447" i="1"/>
  <c r="X443" i="1"/>
  <c r="K57" i="2"/>
  <c r="X287" i="1"/>
  <c r="X283" i="1"/>
  <c r="X279" i="1"/>
  <c r="G71" i="2"/>
  <c r="G64" i="2"/>
  <c r="D72" i="2"/>
  <c r="G78" i="2"/>
  <c r="D83" i="2"/>
  <c r="X513" i="1" s="1"/>
  <c r="X514" i="1" s="1"/>
  <c r="D86" i="2"/>
  <c r="G92" i="2"/>
  <c r="G111" i="2"/>
  <c r="X17" i="1"/>
  <c r="X21" i="1"/>
  <c r="X25" i="1"/>
  <c r="X445" i="1"/>
  <c r="X450" i="1"/>
  <c r="X456" i="1"/>
  <c r="X461" i="1"/>
  <c r="X466" i="1"/>
  <c r="X476" i="1"/>
  <c r="X486" i="1"/>
  <c r="K19" i="2"/>
  <c r="X375" i="1"/>
  <c r="X371" i="1"/>
  <c r="X367" i="1"/>
  <c r="X363" i="1"/>
  <c r="X359" i="1"/>
  <c r="X355" i="1"/>
  <c r="X351" i="1"/>
  <c r="X347" i="1"/>
  <c r="X343" i="1"/>
  <c r="X339" i="1"/>
  <c r="X335" i="1"/>
  <c r="X331" i="1"/>
  <c r="X327" i="1"/>
  <c r="X323" i="1"/>
  <c r="X319" i="1"/>
  <c r="X315" i="1"/>
  <c r="X311" i="1"/>
  <c r="X307" i="1"/>
  <c r="X303" i="1"/>
  <c r="X299" i="1"/>
  <c r="X295" i="1"/>
  <c r="X291" i="1"/>
  <c r="D70" i="2"/>
  <c r="G72" i="2"/>
  <c r="D81" i="2"/>
  <c r="D84" i="2"/>
  <c r="D87" i="2"/>
  <c r="G93" i="2"/>
  <c r="G98" i="2"/>
  <c r="D112" i="2"/>
  <c r="D106" i="2" s="1"/>
  <c r="X503" i="1"/>
  <c r="X504" i="1" s="1"/>
  <c r="G70" i="2"/>
  <c r="G85" i="2"/>
  <c r="G83" i="2"/>
  <c r="G81" i="2"/>
  <c r="G77" i="2"/>
  <c r="D82" i="2"/>
  <c r="G84" i="2"/>
  <c r="D88" i="2"/>
  <c r="D110" i="2"/>
  <c r="G112" i="2"/>
  <c r="D104" i="2" l="1"/>
  <c r="X249" i="1"/>
  <c r="X245" i="1"/>
  <c r="X241" i="1"/>
  <c r="X237" i="1"/>
  <c r="X233" i="1"/>
  <c r="X229" i="1"/>
  <c r="X225" i="1"/>
  <c r="X221" i="1"/>
  <c r="X217" i="1"/>
  <c r="X213" i="1"/>
  <c r="X209" i="1"/>
  <c r="X205" i="1"/>
  <c r="X201" i="1"/>
  <c r="X197" i="1"/>
  <c r="X193" i="1"/>
  <c r="X189" i="1"/>
  <c r="X185" i="1"/>
  <c r="X181" i="1"/>
  <c r="X247" i="1"/>
  <c r="X243" i="1"/>
  <c r="X239" i="1"/>
  <c r="X235" i="1"/>
  <c r="X231" i="1"/>
  <c r="X227" i="1"/>
  <c r="X223" i="1"/>
  <c r="X219" i="1"/>
  <c r="X215" i="1"/>
  <c r="X211" i="1"/>
  <c r="X207" i="1"/>
  <c r="X203" i="1"/>
  <c r="X199" i="1"/>
  <c r="X195" i="1"/>
  <c r="X191" i="1"/>
  <c r="X187" i="1"/>
  <c r="X183" i="1"/>
  <c r="X179" i="1"/>
  <c r="X246" i="1"/>
  <c r="X242" i="1"/>
  <c r="X238" i="1"/>
  <c r="X234" i="1"/>
  <c r="X230" i="1"/>
  <c r="X226" i="1"/>
  <c r="X240" i="1"/>
  <c r="X224" i="1"/>
  <c r="X216" i="1"/>
  <c r="X208" i="1"/>
  <c r="X200" i="1"/>
  <c r="X192" i="1"/>
  <c r="X184" i="1"/>
  <c r="X236" i="1"/>
  <c r="X222" i="1"/>
  <c r="X206" i="1"/>
  <c r="X198" i="1"/>
  <c r="X182" i="1"/>
  <c r="X248" i="1"/>
  <c r="X220" i="1"/>
  <c r="X212" i="1"/>
  <c r="X196" i="1"/>
  <c r="X180" i="1"/>
  <c r="X244" i="1"/>
  <c r="X194" i="1"/>
  <c r="X214" i="1"/>
  <c r="X190" i="1"/>
  <c r="X232" i="1"/>
  <c r="X204" i="1"/>
  <c r="X188" i="1"/>
  <c r="X228" i="1"/>
  <c r="X218" i="1"/>
  <c r="X210" i="1"/>
  <c r="X202" i="1"/>
  <c r="X186" i="1"/>
  <c r="X178" i="1"/>
  <c r="X161" i="1"/>
  <c r="X157" i="1"/>
  <c r="X153" i="1"/>
  <c r="X149" i="1"/>
  <c r="X145" i="1"/>
  <c r="X141" i="1"/>
  <c r="X137" i="1"/>
  <c r="X133" i="1"/>
  <c r="X129" i="1"/>
  <c r="X125" i="1"/>
  <c r="X121" i="1"/>
  <c r="X117" i="1"/>
  <c r="X113" i="1"/>
  <c r="X109" i="1"/>
  <c r="X105" i="1"/>
  <c r="X101" i="1"/>
  <c r="X97" i="1"/>
  <c r="X93" i="1"/>
  <c r="X89" i="1"/>
  <c r="X85" i="1"/>
  <c r="X81" i="1"/>
  <c r="X159" i="1"/>
  <c r="X155" i="1"/>
  <c r="X151" i="1"/>
  <c r="X147" i="1"/>
  <c r="X143" i="1"/>
  <c r="X139" i="1"/>
  <c r="X135" i="1"/>
  <c r="X131" i="1"/>
  <c r="X127" i="1"/>
  <c r="X123" i="1"/>
  <c r="X119" i="1"/>
  <c r="X115" i="1"/>
  <c r="X111" i="1"/>
  <c r="X107" i="1"/>
  <c r="X103" i="1"/>
  <c r="X99" i="1"/>
  <c r="X95" i="1"/>
  <c r="X91" i="1"/>
  <c r="X87" i="1"/>
  <c r="X83" i="1"/>
  <c r="X160" i="1"/>
  <c r="X152" i="1"/>
  <c r="X144" i="1"/>
  <c r="X136" i="1"/>
  <c r="X128" i="1"/>
  <c r="X120" i="1"/>
  <c r="X112" i="1"/>
  <c r="X104" i="1"/>
  <c r="X96" i="1"/>
  <c r="X88" i="1"/>
  <c r="X80" i="1"/>
  <c r="X158" i="1"/>
  <c r="X142" i="1"/>
  <c r="X134" i="1"/>
  <c r="X118" i="1"/>
  <c r="X102" i="1"/>
  <c r="X86" i="1"/>
  <c r="X148" i="1"/>
  <c r="X132" i="1"/>
  <c r="X116" i="1"/>
  <c r="X100" i="1"/>
  <c r="X84" i="1"/>
  <c r="X154" i="1"/>
  <c r="X146" i="1"/>
  <c r="X138" i="1"/>
  <c r="X130" i="1"/>
  <c r="X106" i="1"/>
  <c r="X90" i="1"/>
  <c r="X150" i="1"/>
  <c r="X126" i="1"/>
  <c r="X110" i="1"/>
  <c r="X94" i="1"/>
  <c r="X156" i="1"/>
  <c r="X140" i="1"/>
  <c r="X124" i="1"/>
  <c r="X108" i="1"/>
  <c r="X92" i="1"/>
  <c r="X122" i="1"/>
  <c r="X114" i="1"/>
  <c r="X98" i="1"/>
  <c r="X82" i="1"/>
  <c r="X37" i="1"/>
  <c r="X39" i="1"/>
  <c r="X38" i="1"/>
  <c r="X275" i="1"/>
  <c r="X271" i="1"/>
  <c r="X274" i="1"/>
  <c r="X269" i="1"/>
  <c r="X265" i="1"/>
  <c r="X261" i="1"/>
  <c r="X257" i="1"/>
  <c r="X253" i="1"/>
  <c r="X272" i="1"/>
  <c r="X267" i="1"/>
  <c r="X263" i="1"/>
  <c r="X259" i="1"/>
  <c r="X255" i="1"/>
  <c r="X251" i="1"/>
  <c r="X270" i="1"/>
  <c r="X266" i="1"/>
  <c r="X262" i="1"/>
  <c r="X258" i="1"/>
  <c r="X254" i="1"/>
  <c r="X250" i="1"/>
  <c r="X273" i="1"/>
  <c r="X256" i="1"/>
  <c r="X268" i="1"/>
  <c r="X252" i="1"/>
  <c r="X264" i="1"/>
  <c r="X260" i="1"/>
  <c r="X53" i="1"/>
  <c r="X49" i="1"/>
  <c r="X45" i="1"/>
  <c r="X41" i="1"/>
  <c r="X55" i="1"/>
  <c r="X51" i="1"/>
  <c r="X47" i="1"/>
  <c r="X43" i="1"/>
  <c r="X56" i="1"/>
  <c r="X48" i="1"/>
  <c r="X40" i="1"/>
  <c r="X54" i="1"/>
  <c r="X46" i="1"/>
  <c r="X44" i="1"/>
  <c r="X42" i="1"/>
  <c r="X52" i="1"/>
  <c r="X50" i="1"/>
  <c r="X509" i="1"/>
  <c r="X510" i="1" s="1"/>
  <c r="X501" i="1"/>
  <c r="X502" i="1" s="1"/>
  <c r="X505" i="1"/>
  <c r="X506" i="1" s="1"/>
  <c r="X507" i="1"/>
  <c r="X508" i="1" s="1"/>
  <c r="X65" i="1" l="1"/>
  <c r="X61" i="1"/>
  <c r="X57" i="1"/>
  <c r="X5" i="1"/>
  <c r="X63" i="1"/>
  <c r="X59" i="1"/>
  <c r="X7" i="1"/>
  <c r="X3" i="1"/>
  <c r="X72" i="1"/>
  <c r="X73" i="1" s="1"/>
  <c r="X64" i="1"/>
  <c r="X2" i="1"/>
  <c r="X70" i="1"/>
  <c r="X71" i="1" s="1"/>
  <c r="X68" i="1"/>
  <c r="X69" i="1" s="1"/>
  <c r="X6" i="1"/>
  <c r="X74" i="1"/>
  <c r="X75" i="1" s="1"/>
  <c r="X58" i="1"/>
  <c r="X78" i="1"/>
  <c r="X79" i="1" s="1"/>
  <c r="X62" i="1"/>
  <c r="X8" i="1"/>
  <c r="X76" i="1"/>
  <c r="X77" i="1" s="1"/>
  <c r="X60" i="1"/>
  <c r="X66" i="1"/>
  <c r="X67" i="1" s="1"/>
  <c r="X4" i="1"/>
</calcChain>
</file>

<file path=xl/sharedStrings.xml><?xml version="1.0" encoding="utf-8"?>
<sst xmlns="http://schemas.openxmlformats.org/spreadsheetml/2006/main" count="3802" uniqueCount="448">
  <si>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</si>
  <si>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</si>
  <si>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</si>
  <si>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</si>
  <si>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</si>
  <si>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</si>
  <si>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</si>
  <si>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</si>
  <si>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</si>
  <si>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</si>
  <si>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</si>
  <si>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</si>
  <si>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</si>
  <si>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</si>
  <si>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</si>
  <si>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</si>
  <si>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</si>
  <si>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</si>
  <si>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</si>
  <si>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</si>
  <si>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</si>
  <si>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</si>
  <si>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</si>
  <si>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</si>
  <si>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</si>
  <si>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</si>
  <si>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</si>
  <si>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</si>
  <si>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</si>
  <si>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</si>
  <si>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</si>
  <si>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</si>
  <si>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</si>
  <si>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</si>
  <si>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</si>
  <si>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</si>
  <si>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</si>
  <si>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</si>
  <si>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</si>
  <si>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</si>
  <si>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</si>
  <si>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</si>
  <si>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</si>
  <si>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</si>
  <si>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</si>
  <si>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</si>
  <si>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</si>
  <si>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</si>
  <si>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</si>
  <si>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</si>
  <si>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</si>
  <si>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</si>
  <si>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</si>
  <si>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</si>
  <si>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</si>
  <si>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</si>
  <si>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</si>
  <si>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</si>
  <si>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</si>
  <si>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</si>
  <si>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</si>
  <si>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</si>
  <si>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</si>
  <si>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</si>
  <si>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</si>
  <si>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</si>
  <si>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</si>
  <si>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</si>
  <si>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</si>
  <si>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</si>
  <si>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</si>
  <si>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</si>
  <si>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</si>
  <si>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</si>
  <si>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</si>
  <si>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</si>
  <si>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</si>
  <si>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</si>
  <si>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</si>
  <si>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</si>
  <si>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</si>
  <si>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</si>
  <si>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</si>
  <si>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</si>
  <si>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</si>
  <si>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</si>
  <si>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</si>
  <si>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</si>
  <si>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</si>
  <si>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</si>
  <si>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</si>
  <si>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</si>
  <si>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</si>
  <si>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</si>
  <si>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</si>
  <si>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</si>
  <si>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</si>
  <si>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</si>
  <si>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</si>
  <si>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</si>
  <si>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</si>
  <si>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</si>
  <si>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</si>
  <si>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</si>
  <si>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</si>
  <si>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</si>
  <si>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</si>
  <si>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</si>
  <si>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</si>
  <si>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https://cdn.shopify.com/s/files/1/0471/8677/2118/files/myron-toback-inc-sterling-silver-square-wire-42217889628377.jpg?v=1754676031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</si>
  <si>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</si>
  <si>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</si>
  <si>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</si>
  <si>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</si>
  <si>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</si>
  <si>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</si>
  <si>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</si>
  <si>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</si>
  <si>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</si>
  <si>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</si>
  <si>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</si>
  <si>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</si>
  <si>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</si>
  <si>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</si>
  <si>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</si>
  <si>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</si>
  <si>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</si>
  <si>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</si>
  <si>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</si>
  <si>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</si>
  <si>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https://cdn.shopify.com/s/files/1/0471/8677/2118/files/myron-toback-inc-sterling-silver-half-round-wire-43171729342681.jpg?v=1754676032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</si>
  <si>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</si>
  <si>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</si>
  <si>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</si>
  <si>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</si>
  <si>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</si>
  <si>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</si>
  <si>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</si>
  <si>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</si>
  <si>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</si>
  <si>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</si>
  <si>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</si>
  <si>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</si>
  <si>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</si>
  <si>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</si>
  <si>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https://cdn.shopify.com/s/files/1/0471/8677/2118/files/myron-toback-inc-sterling-silver-round-tubing-sterling-silver-round-tubing-43875851895001.jpg?v=1754676059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</si>
  <si>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</si>
  <si>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</si>
  <si>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</si>
  <si>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</si>
  <si>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</si>
  <si>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</si>
  <si>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</si>
  <si>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</si>
  <si>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</si>
  <si>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</si>
  <si>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</si>
  <si>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</si>
  <si>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</si>
  <si>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</si>
  <si>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</si>
  <si>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</si>
  <si>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</si>
  <si>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</si>
  <si>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</si>
  <si>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</si>
  <si>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</si>
  <si>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</si>
  <si>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</si>
  <si>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</si>
  <si>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</si>
  <si>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</si>
  <si>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</si>
  <si>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</si>
  <si>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</si>
  <si>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</si>
  <si>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</si>
  <si>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</si>
  <si>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</si>
  <si>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https://cdn.shopify.com/s/files/1/0471/8677/2118/products/myron-toback-inc-gold-filled-pink-wire-36353086685401.jpg?v=1754676034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</si>
  <si>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</si>
  <si>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</si>
  <si>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</si>
  <si>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</si>
  <si>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</si>
  <si>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</si>
  <si>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</si>
  <si>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</si>
  <si>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https://cdn.shopify.com/s/files/1/0471/8677/2118/products/myron-toback-inc-gold-filled-yellow-wire-36307630424281.jpg?v=1754676035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</si>
  <si>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</si>
  <si>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</si>
  <si>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</si>
  <si>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</si>
  <si>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</si>
  <si>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</si>
  <si>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</si>
  <si>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</si>
  <si>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</si>
  <si>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</si>
  <si>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</si>
  <si>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https://cdn.shopify.com/s/files/1/0471/8677/2118/products/myron-toback-inc-platinum-wire-28799795232950.jpg?v=1754676037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</si>
  <si>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</si>
  <si>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</si>
  <si>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</si>
  <si>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</si>
  <si>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</si>
  <si>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</si>
  <si>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https://cdn.shopify.com/s/files/1/0471/8677/2118/products/myron-toback-inc-palladium-wire-28799794446518.jpg?v=1754676038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</si>
  <si>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</si>
  <si>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</si>
  <si>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</si>
  <si>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</si>
  <si>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</si>
  <si>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</si>
  <si>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https://cdn.shopify.com/s/files/1/0471/8677/2118/products/myron-toback-inc-sterling-silver-wire-28799795069110.jpg?v=1754676040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</si>
  <si>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</si>
  <si>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</si>
  <si>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</si>
  <si>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</si>
  <si>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</si>
  <si>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</si>
  <si>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https://cdn.shopify.com/s/files/1/0471/8677/2118/products/myron-toback-inc-fine-silver-wire-28799794577590.jpg?v=1754676043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</si>
  <si>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</si>
  <si>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</si>
  <si>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</si>
  <si>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</si>
  <si>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</si>
  <si>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</si>
  <si>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https://cdn.shopify.com/s/files/1/0471/8677/2118/products/myron-toback-inc-22k-yellow-gold-wire-28517634474166.jpg?v=1754676046</t>
  </si>
  <si>
    <t>Myron Toback Inc. 22K Yellow Gold Wire</t>
  </si>
  <si>
    <t>18k-yellow-gold-wire-1</t>
  </si>
  <si>
    <t>18K Yellow Gold Round Wire</t>
  </si>
  <si>
    <t>18K, Gold, Metals, Round, Wire, wire&amp;sheet, Yellow</t>
  </si>
  <si>
    <t>https://cdn.shopify.com/s/files/1/0471/8677/2118/products/myron-toback-inc-18k-yellow-gold-wire-28517605572790.jpg?v=1754676048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</si>
  <si>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</si>
  <si>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</si>
  <si>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</si>
  <si>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</si>
  <si>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</si>
  <si>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</si>
  <si>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https://cdn.shopify.com/s/files/1/0471/8677/2118/products/myron-toback-inc-18k-white-gold-wire-28517602230454.jpg?v=1754676050</t>
  </si>
  <si>
    <t>Myron Toback Inc. 18K White Gold Wire</t>
  </si>
  <si>
    <t>18k-pink-gold-wire-1</t>
  </si>
  <si>
    <t>18K Pink Gold Round Wire</t>
  </si>
  <si>
    <t>18K, Gold, Metals, Pink, Round, Wire, wire&amp;sheet</t>
  </si>
  <si>
    <t>https://cdn.shopify.com/s/files/1/0471/8677/2118/products/myron-toback-inc-18k-pink-gold-wire-28517413879990.jpg?v=1754676051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</si>
  <si>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</si>
  <si>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</si>
  <si>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</si>
  <si>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</si>
  <si>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</si>
  <si>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https://cdn.shopify.com/s/files/1/0471/8677/2118/products/myron-toback-inc-14k-yellow-gold-wire-28517270290614.jpg?v=1754676053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</si>
  <si>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</si>
  <si>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</si>
  <si>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</si>
  <si>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</si>
  <si>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</si>
  <si>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</si>
  <si>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https://cdn.shopify.com/s/files/1/0471/8677/2118/products/myron-toback-inc-14k-white-gold-wire-28517224939702.jpg?v=1754676054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</si>
  <si>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</si>
  <si>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</si>
  <si>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</si>
  <si>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</si>
  <si>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</si>
  <si>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</si>
  <si>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https://cdn.shopify.com/s/files/1/0471/8677/2118/products/myron-toback-inc-10k-yellow-gold-wire-19709700735126.jpg?v=1754676055</t>
  </si>
  <si>
    <t>Myron Toback Inc. 10K Yellow Gold Wire</t>
  </si>
  <si>
    <t>14k-green-gold-wire</t>
  </si>
  <si>
    <t>14K Green Gold Round Wire</t>
  </si>
  <si>
    <t>14K, Gold, Green, Metals, Round, Wire, wire&amp;sheet</t>
  </si>
  <si>
    <t>https://cdn.shopify.com/s/files/1/0471/8677/2118/products/myron-toback-inc-14k-green-gold-wire-19712534806678.jpg?v=1754676056</t>
  </si>
  <si>
    <t>Myron Toback Inc. 14K Green Gold Wire</t>
  </si>
  <si>
    <t>14k-pink-gold-wire</t>
  </si>
  <si>
    <t>14K Pink Gold Round Wire</t>
  </si>
  <si>
    <t>14K, Gold, Metals, Pink, Round, Wire, wire&amp;sheet</t>
  </si>
  <si>
    <t>https://cdn.shopify.com/s/files/1/0471/8677/2118/products/myron-toback-inc-14k-pink-gold-wire-19709828432022.jpg?v=1754676057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</si>
  <si>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</si>
  <si>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</si>
  <si>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</si>
  <si>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</si>
  <si>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</si>
  <si>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</si>
  <si>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</si>
  <si>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</si>
  <si>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</si>
  <si>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</si>
  <si>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</si>
  <si>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</si>
  <si>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</si>
  <si>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</si>
  <si>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</si>
  <si>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</si>
  <si>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</si>
  <si>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</si>
  <si>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</si>
  <si>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</si>
  <si>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</si>
  <si>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</si>
  <si>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</si>
  <si>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</si>
  <si>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</si>
  <si>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</si>
  <si>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</si>
  <si>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</si>
  <si>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</si>
  <si>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</si>
  <si>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</si>
  <si>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</si>
  <si>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</si>
  <si>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</si>
  <si>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</si>
  <si>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</si>
  <si>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</si>
  <si>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</si>
  <si>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</si>
  <si>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</si>
  <si>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</si>
  <si>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</si>
  <si>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</si>
  <si>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</si>
  <si>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</si>
  <si>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</si>
  <si>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</si>
  <si>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</si>
  <si>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</si>
  <si>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</si>
  <si>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</si>
  <si>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</si>
  <si>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</si>
  <si>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</si>
  <si>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</si>
  <si>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</si>
  <si>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</si>
  <si>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</si>
  <si>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</si>
  <si>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</si>
  <si>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</si>
  <si>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</si>
  <si>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</si>
  <si>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</si>
  <si>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</si>
  <si>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</si>
  <si>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</si>
  <si>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</si>
  <si>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</si>
  <si>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</si>
  <si>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sterling-silver-beaded-wire-1</t>
  </si>
  <si>
    <t>Sterling Silver Beaded Wire</t>
  </si>
  <si>
    <t>Beaded, Metals, Silver, Wire</t>
  </si>
  <si>
    <t>1MM</t>
  </si>
  <si>
    <t>Length</t>
  </si>
  <si>
    <t>https://cdn.shopify.com/s/files/1/0471/8677/2118/products/myron-toback-inc-sterling-silver-beaded-wire-38710634119385.jpg?v=1756909280</t>
  </si>
  <si>
    <t>Sterling Silver Beaded Wire  Myron Toback Inc. Sterling Silver Beaded Wire</t>
  </si>
  <si>
    <t>3.5MM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</si>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</sst>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topLeftCell="A331" zoomScaleNormal="100" workbookViewId="0">
      <selection activeCell="D404" sqref="D404"/>
    </sheetView>
  </sheetViews>
  <sheetFormatPr defaultColWidth="8.85546875" defaultRowHeight="15"/>
  <cols>
    <col min="24" max="24" width="12.28515625" bestFit="1" customWidth="1"/>
  </cols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3.4366605374823198</v>
      </c>
      <c r="Z2" t="b">
        <v>1</v>
      </c>
      <c r="AA2" t="b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5.1549908062234797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6.8733210749646396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10.309981612446959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21.4791283592645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10.309981612446959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13.746642149929279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41.216000000000001</v>
      </c>
      <c r="Z9" t="b">
        <v>1</v>
      </c>
      <c r="AA9" t="b">
        <v>1</v>
      </c>
      <c r="AC9" t="s">
        <v>109</v>
      </c>
      <c r="AD9">
        <v>1</v>
      </c>
      <c r="AE9" t="s">
        <v>110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111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64.400000000000006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92.73599999999999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112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144.89999999999998</v>
      </c>
      <c r="Z12" t="b">
        <v>1</v>
      </c>
      <c r="AA12" t="b">
        <v>1</v>
      </c>
      <c r="CB12" t="s">
        <v>95</v>
      </c>
    </row>
    <row r="13" spans="1:83" ht="15" customHeight="1">
      <c r="A13" t="s">
        <v>113</v>
      </c>
      <c r="B13" t="s">
        <v>114</v>
      </c>
      <c r="C13" s="1" t="s">
        <v>105</v>
      </c>
      <c r="D13" t="s">
        <v>86</v>
      </c>
      <c r="E13" t="s">
        <v>106</v>
      </c>
      <c r="G13" t="s">
        <v>115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41.216000000000001</v>
      </c>
      <c r="Z13" t="b">
        <v>1</v>
      </c>
      <c r="AA13" t="b">
        <v>1</v>
      </c>
      <c r="AC13" t="s">
        <v>109</v>
      </c>
      <c r="AD13">
        <v>1</v>
      </c>
      <c r="AE13" t="s">
        <v>110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113</v>
      </c>
      <c r="J14" t="s">
        <v>111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64.400000000000006</v>
      </c>
      <c r="Z14" t="b">
        <v>1</v>
      </c>
      <c r="AA14" t="b">
        <v>1</v>
      </c>
      <c r="CB14" t="s">
        <v>95</v>
      </c>
    </row>
    <row r="15" spans="1:83" ht="15" customHeight="1">
      <c r="A15" t="s">
        <v>113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92.73599999999999</v>
      </c>
      <c r="Z15" t="b">
        <v>1</v>
      </c>
      <c r="AA15" t="b">
        <v>1</v>
      </c>
      <c r="CB15" t="s">
        <v>95</v>
      </c>
    </row>
    <row r="16" spans="1:83" ht="15" customHeight="1">
      <c r="A16" t="s">
        <v>113</v>
      </c>
      <c r="J16" t="s">
        <v>112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144.89999999999998</v>
      </c>
      <c r="Z16" t="b">
        <v>1</v>
      </c>
      <c r="AA16" t="b">
        <v>1</v>
      </c>
      <c r="CB16" t="s">
        <v>95</v>
      </c>
    </row>
    <row r="17" spans="1:83" ht="15" customHeight="1">
      <c r="A17" t="s">
        <v>116</v>
      </c>
      <c r="B17" t="s">
        <v>117</v>
      </c>
      <c r="C17" s="1" t="s">
        <v>118</v>
      </c>
      <c r="D17" t="s">
        <v>86</v>
      </c>
      <c r="E17" t="s">
        <v>119</v>
      </c>
      <c r="G17" t="s">
        <v>120</v>
      </c>
      <c r="H17" t="b">
        <v>1</v>
      </c>
      <c r="I17" t="s">
        <v>108</v>
      </c>
      <c r="J17" t="s">
        <v>121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37.555383979175787</v>
      </c>
      <c r="Z17" t="b">
        <v>1</v>
      </c>
      <c r="AA17" t="b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116</v>
      </c>
      <c r="J18" t="s">
        <v>122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66.765127074090287</v>
      </c>
      <c r="Z18" t="b">
        <v>1</v>
      </c>
      <c r="AA18" t="b">
        <v>1</v>
      </c>
      <c r="CB18" t="s">
        <v>95</v>
      </c>
    </row>
    <row r="19" spans="1:83" ht="15" customHeight="1">
      <c r="A19" t="s">
        <v>116</v>
      </c>
      <c r="J19" t="s">
        <v>123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104.32051105326607</v>
      </c>
      <c r="Z19" t="b">
        <v>1</v>
      </c>
      <c r="AA19" t="b">
        <v>1</v>
      </c>
      <c r="CB19" t="s">
        <v>95</v>
      </c>
    </row>
    <row r="20" spans="1:83" ht="15" customHeight="1">
      <c r="A20" t="s">
        <v>116</v>
      </c>
      <c r="J20" t="s">
        <v>124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150.22153591670315</v>
      </c>
      <c r="Z20" t="b">
        <v>1</v>
      </c>
      <c r="AA20" t="b">
        <v>1</v>
      </c>
      <c r="CB20" t="s">
        <v>95</v>
      </c>
    </row>
    <row r="21" spans="1:83" ht="15" customHeight="1">
      <c r="A21" t="s">
        <v>116</v>
      </c>
      <c r="J21" t="s">
        <v>125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267.06050829636115</v>
      </c>
      <c r="Z21" t="b">
        <v>1</v>
      </c>
      <c r="AA21" t="b">
        <v>1</v>
      </c>
      <c r="CB21" t="s">
        <v>95</v>
      </c>
    </row>
    <row r="22" spans="1:83" ht="15" customHeight="1">
      <c r="A22" t="s">
        <v>126</v>
      </c>
      <c r="B22" t="s">
        <v>127</v>
      </c>
      <c r="C22" s="1" t="s">
        <v>118</v>
      </c>
      <c r="D22" t="s">
        <v>86</v>
      </c>
      <c r="E22" t="s">
        <v>119</v>
      </c>
      <c r="G22" t="s">
        <v>120</v>
      </c>
      <c r="H22" t="b">
        <v>1</v>
      </c>
      <c r="I22" t="s">
        <v>108</v>
      </c>
      <c r="J22" t="s">
        <v>121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37.555383979175787</v>
      </c>
      <c r="Z22" t="b">
        <v>1</v>
      </c>
      <c r="AA22" t="b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126</v>
      </c>
      <c r="J23" t="s">
        <v>122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66.765127074090287</v>
      </c>
      <c r="Z23" t="b">
        <v>1</v>
      </c>
      <c r="AA23" t="b">
        <v>1</v>
      </c>
      <c r="CB23" t="s">
        <v>95</v>
      </c>
    </row>
    <row r="24" spans="1:83" ht="15" customHeight="1">
      <c r="A24" t="s">
        <v>126</v>
      </c>
      <c r="J24" t="s">
        <v>123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104.32051105326607</v>
      </c>
      <c r="Z24" t="b">
        <v>1</v>
      </c>
      <c r="AA24" t="b">
        <v>1</v>
      </c>
      <c r="CB24" t="s">
        <v>95</v>
      </c>
    </row>
    <row r="25" spans="1:83" ht="15" customHeight="1">
      <c r="A25" t="s">
        <v>126</v>
      </c>
      <c r="J25" t="s">
        <v>124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150.22153591670315</v>
      </c>
      <c r="Z25" t="b">
        <v>1</v>
      </c>
      <c r="AA25" t="b">
        <v>1</v>
      </c>
      <c r="CB25" t="s">
        <v>95</v>
      </c>
    </row>
    <row r="26" spans="1:83" ht="15" customHeight="1">
      <c r="A26" t="s">
        <v>126</v>
      </c>
      <c r="J26" t="s">
        <v>125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267.06050829636115</v>
      </c>
      <c r="Z26" t="b">
        <v>1</v>
      </c>
      <c r="AA26" t="b">
        <v>1</v>
      </c>
      <c r="CB26" t="s">
        <v>95</v>
      </c>
    </row>
    <row r="27" spans="1:83" ht="15" customHeight="1">
      <c r="A27" t="s">
        <v>128</v>
      </c>
      <c r="B27" t="s">
        <v>129</v>
      </c>
      <c r="C27" s="1" t="s">
        <v>118</v>
      </c>
      <c r="D27" t="s">
        <v>86</v>
      </c>
      <c r="E27" t="s">
        <v>119</v>
      </c>
      <c r="G27" t="s">
        <v>120</v>
      </c>
      <c r="H27" t="b">
        <v>1</v>
      </c>
      <c r="I27" t="s">
        <v>108</v>
      </c>
      <c r="J27" t="s">
        <v>121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36.417342040412883</v>
      </c>
      <c r="Z27" t="b">
        <v>1</v>
      </c>
      <c r="AA27" t="b">
        <v>1</v>
      </c>
      <c r="AC27" t="s">
        <v>130</v>
      </c>
      <c r="AD27">
        <v>1</v>
      </c>
      <c r="AE27" t="s">
        <v>131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128</v>
      </c>
      <c r="J28" t="s">
        <v>122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64.741941405178451</v>
      </c>
      <c r="Z28" t="b">
        <v>1</v>
      </c>
      <c r="AA28" t="b">
        <v>1</v>
      </c>
      <c r="CB28" t="s">
        <v>95</v>
      </c>
    </row>
    <row r="29" spans="1:83" ht="15" customHeight="1">
      <c r="A29" t="s">
        <v>128</v>
      </c>
      <c r="J29" t="s">
        <v>123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101.15928344559134</v>
      </c>
      <c r="Z29" t="b">
        <v>1</v>
      </c>
      <c r="AA29" t="b">
        <v>1</v>
      </c>
      <c r="CB29" t="s">
        <v>95</v>
      </c>
    </row>
    <row r="30" spans="1:83" ht="15" customHeight="1">
      <c r="A30" t="s">
        <v>128</v>
      </c>
      <c r="J30" t="s">
        <v>124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145.66936816165153</v>
      </c>
      <c r="Z30" t="b">
        <v>1</v>
      </c>
      <c r="AA30" t="b">
        <v>1</v>
      </c>
      <c r="CB30" t="s">
        <v>95</v>
      </c>
    </row>
    <row r="31" spans="1:83" ht="15" customHeight="1">
      <c r="A31" t="s">
        <v>128</v>
      </c>
      <c r="J31" t="s">
        <v>125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258.96776562071381</v>
      </c>
      <c r="Z31" t="b">
        <v>1</v>
      </c>
      <c r="AA31" t="b">
        <v>1</v>
      </c>
      <c r="CB31" t="s">
        <v>95</v>
      </c>
    </row>
    <row r="32" spans="1:83" ht="15" customHeight="1">
      <c r="A32" t="s">
        <v>132</v>
      </c>
      <c r="B32" t="s">
        <v>133</v>
      </c>
      <c r="C32" s="1" t="s">
        <v>118</v>
      </c>
      <c r="D32" t="s">
        <v>86</v>
      </c>
      <c r="E32" t="s">
        <v>119</v>
      </c>
      <c r="G32" t="s">
        <v>134</v>
      </c>
      <c r="H32" t="b">
        <v>1</v>
      </c>
      <c r="I32" t="s">
        <v>108</v>
      </c>
      <c r="J32" t="s">
        <v>121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36.417342040412883</v>
      </c>
      <c r="Z32" t="b">
        <v>1</v>
      </c>
      <c r="AA32" t="b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132</v>
      </c>
      <c r="J33" t="s">
        <v>122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64.741941405178451</v>
      </c>
      <c r="Z33" t="b">
        <v>1</v>
      </c>
      <c r="AA33" t="b">
        <v>1</v>
      </c>
      <c r="CB33" t="s">
        <v>95</v>
      </c>
    </row>
    <row r="34" spans="1:83" ht="15" customHeight="1">
      <c r="A34" t="s">
        <v>132</v>
      </c>
      <c r="J34" t="s">
        <v>123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101.15928344559134</v>
      </c>
      <c r="Z34" t="b">
        <v>1</v>
      </c>
      <c r="AA34" t="b">
        <v>1</v>
      </c>
      <c r="CB34" t="s">
        <v>95</v>
      </c>
    </row>
    <row r="35" spans="1:83" ht="15" customHeight="1">
      <c r="A35" t="s">
        <v>132</v>
      </c>
      <c r="J35" t="s">
        <v>124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145.66936816165153</v>
      </c>
      <c r="Z35" t="b">
        <v>1</v>
      </c>
      <c r="AA35" t="b">
        <v>1</v>
      </c>
      <c r="CB35" t="s">
        <v>95</v>
      </c>
    </row>
    <row r="36" spans="1:83" ht="15" customHeight="1">
      <c r="A36" t="s">
        <v>132</v>
      </c>
      <c r="J36" t="s">
        <v>125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258.96776562071381</v>
      </c>
      <c r="Z36" t="b">
        <v>1</v>
      </c>
      <c r="AA36" t="b">
        <v>1</v>
      </c>
      <c r="CB36" t="s">
        <v>95</v>
      </c>
    </row>
    <row r="37" spans="1:83" ht="15" customHeight="1">
      <c r="A37" t="s">
        <v>135</v>
      </c>
      <c r="B37" t="s">
        <v>136</v>
      </c>
      <c r="C37" s="1" t="s">
        <v>137</v>
      </c>
      <c r="D37" t="s">
        <v>86</v>
      </c>
      <c r="E37" t="s">
        <v>87</v>
      </c>
      <c r="G37" t="s">
        <v>138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1.0054687500000001</v>
      </c>
      <c r="Z37" t="b">
        <v>1</v>
      </c>
      <c r="AA37" t="b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135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2.0109375000000003</v>
      </c>
      <c r="Z38" t="b">
        <v>1</v>
      </c>
      <c r="AA38" t="b">
        <v>1</v>
      </c>
      <c r="CB38" t="s">
        <v>95</v>
      </c>
    </row>
    <row r="39" spans="1:83" ht="15" customHeight="1">
      <c r="A39" t="s">
        <v>135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4.0218750000000005</v>
      </c>
      <c r="Z39" t="b">
        <v>1</v>
      </c>
      <c r="AA39" t="b">
        <v>1</v>
      </c>
      <c r="CB39" t="s">
        <v>95</v>
      </c>
    </row>
    <row r="40" spans="1:83" ht="15" customHeight="1">
      <c r="A40" t="s">
        <v>139</v>
      </c>
      <c r="B40" t="s">
        <v>140</v>
      </c>
      <c r="C40" s="1" t="s">
        <v>141</v>
      </c>
      <c r="D40" t="s">
        <v>86</v>
      </c>
      <c r="E40" t="s">
        <v>142</v>
      </c>
      <c r="G40" t="s">
        <v>143</v>
      </c>
      <c r="H40" t="b">
        <v>1</v>
      </c>
      <c r="I40" t="s">
        <v>108</v>
      </c>
      <c r="J40" t="s">
        <v>121</v>
      </c>
      <c r="L40" t="s">
        <v>91</v>
      </c>
      <c r="M40" t="s">
        <v>144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16.875</v>
      </c>
      <c r="Z40" t="b">
        <v>1</v>
      </c>
      <c r="AA40" t="b">
        <v>1</v>
      </c>
      <c r="AC40" t="s">
        <v>145</v>
      </c>
      <c r="AD40">
        <v>1</v>
      </c>
      <c r="AE40" t="s">
        <v>146</v>
      </c>
      <c r="AF40" t="b">
        <v>0</v>
      </c>
      <c r="CB40" t="s">
        <v>147</v>
      </c>
      <c r="CE40" t="s">
        <v>96</v>
      </c>
    </row>
    <row r="41" spans="1:83" ht="15" customHeight="1">
      <c r="A41" t="s">
        <v>139</v>
      </c>
      <c r="J41" t="s">
        <v>122</v>
      </c>
      <c r="M41" t="s">
        <v>144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24.046874999999996</v>
      </c>
      <c r="Z41" t="b">
        <v>1</v>
      </c>
      <c r="AA41" t="b">
        <v>1</v>
      </c>
      <c r="CB41" t="s">
        <v>147</v>
      </c>
    </row>
    <row r="42" spans="1:83" ht="15" customHeight="1">
      <c r="A42" t="s">
        <v>139</v>
      </c>
      <c r="J42" t="s">
        <v>122</v>
      </c>
      <c r="M42" t="s">
        <v>148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48.093749999999993</v>
      </c>
      <c r="Z42" t="b">
        <v>1</v>
      </c>
      <c r="AA42" t="b">
        <v>1</v>
      </c>
      <c r="CB42" t="s">
        <v>147</v>
      </c>
    </row>
    <row r="43" spans="1:83" ht="15" customHeight="1">
      <c r="A43" t="s">
        <v>139</v>
      </c>
      <c r="J43" t="s">
        <v>123</v>
      </c>
      <c r="M43" t="s">
        <v>144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30.037499999999998</v>
      </c>
      <c r="Z43" t="b">
        <v>1</v>
      </c>
      <c r="AA43" t="b">
        <v>1</v>
      </c>
      <c r="CB43" t="s">
        <v>147</v>
      </c>
    </row>
    <row r="44" spans="1:83" ht="15" customHeight="1">
      <c r="A44" t="s">
        <v>139</v>
      </c>
      <c r="J44" t="s">
        <v>124</v>
      </c>
      <c r="M44" t="s">
        <v>144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38.981250000000003</v>
      </c>
      <c r="Z44" t="b">
        <v>1</v>
      </c>
      <c r="AA44" t="b">
        <v>1</v>
      </c>
      <c r="CB44" t="s">
        <v>147</v>
      </c>
    </row>
    <row r="45" spans="1:83" ht="15" customHeight="1">
      <c r="A45" t="s">
        <v>139</v>
      </c>
      <c r="J45" t="s">
        <v>124</v>
      </c>
      <c r="M45" t="s">
        <v>148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77.962500000000006</v>
      </c>
      <c r="Z45" t="b">
        <v>1</v>
      </c>
      <c r="AA45" t="b">
        <v>1</v>
      </c>
      <c r="CB45" t="s">
        <v>147</v>
      </c>
    </row>
    <row r="46" spans="1:83" ht="15" customHeight="1">
      <c r="A46" t="s">
        <v>139</v>
      </c>
      <c r="J46" t="s">
        <v>125</v>
      </c>
      <c r="M46" t="s">
        <v>144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54.675000000000004</v>
      </c>
      <c r="Z46" t="b">
        <v>1</v>
      </c>
      <c r="AA46" t="b">
        <v>1</v>
      </c>
      <c r="CB46" t="s">
        <v>147</v>
      </c>
    </row>
    <row r="47" spans="1:83" ht="15" customHeight="1">
      <c r="A47" t="s">
        <v>139</v>
      </c>
      <c r="J47" t="s">
        <v>125</v>
      </c>
      <c r="M47" t="s">
        <v>148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109.35000000000001</v>
      </c>
      <c r="Z47" t="b">
        <v>1</v>
      </c>
      <c r="AA47" t="b">
        <v>1</v>
      </c>
      <c r="CB47" t="s">
        <v>147</v>
      </c>
    </row>
    <row r="48" spans="1:83" ht="15" customHeight="1">
      <c r="A48" t="s">
        <v>139</v>
      </c>
      <c r="J48" t="s">
        <v>149</v>
      </c>
      <c r="M48" t="s">
        <v>144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66.150000000000006</v>
      </c>
      <c r="Z48" t="b">
        <v>1</v>
      </c>
      <c r="AA48" t="b">
        <v>1</v>
      </c>
      <c r="CB48" t="s">
        <v>147</v>
      </c>
    </row>
    <row r="49" spans="1:83" ht="15" customHeight="1">
      <c r="A49" t="s">
        <v>139</v>
      </c>
      <c r="J49" t="s">
        <v>150</v>
      </c>
      <c r="M49" t="s">
        <v>144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67.5</v>
      </c>
      <c r="Z49" t="b">
        <v>1</v>
      </c>
      <c r="AA49" t="b">
        <v>1</v>
      </c>
      <c r="CB49" t="s">
        <v>147</v>
      </c>
    </row>
    <row r="50" spans="1:83" ht="15" customHeight="1">
      <c r="A50" t="s">
        <v>139</v>
      </c>
      <c r="J50" t="s">
        <v>150</v>
      </c>
      <c r="M50" t="s">
        <v>148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135</v>
      </c>
      <c r="Z50" t="b">
        <v>1</v>
      </c>
      <c r="AA50" t="b">
        <v>1</v>
      </c>
      <c r="CB50" t="s">
        <v>147</v>
      </c>
    </row>
    <row r="51" spans="1:83" ht="15" customHeight="1">
      <c r="A51" t="s">
        <v>139</v>
      </c>
      <c r="J51" t="s">
        <v>151</v>
      </c>
      <c r="M51" t="s">
        <v>144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82.012500000000003</v>
      </c>
      <c r="Z51" t="b">
        <v>1</v>
      </c>
      <c r="AA51" t="b">
        <v>1</v>
      </c>
      <c r="CB51" t="s">
        <v>147</v>
      </c>
    </row>
    <row r="52" spans="1:83" ht="15" customHeight="1">
      <c r="A52" t="s">
        <v>139</v>
      </c>
      <c r="J52" t="s">
        <v>151</v>
      </c>
      <c r="M52" t="s">
        <v>148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164.02500000000001</v>
      </c>
      <c r="Z52" t="b">
        <v>1</v>
      </c>
      <c r="AA52" t="b">
        <v>1</v>
      </c>
      <c r="CB52" t="s">
        <v>147</v>
      </c>
    </row>
    <row r="53" spans="1:83" ht="15" customHeight="1">
      <c r="A53" t="s">
        <v>139</v>
      </c>
      <c r="J53" t="s">
        <v>152</v>
      </c>
      <c r="M53" t="s">
        <v>144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107.15625</v>
      </c>
      <c r="Z53" t="b">
        <v>1</v>
      </c>
      <c r="AA53" t="b">
        <v>1</v>
      </c>
      <c r="CB53" t="s">
        <v>147</v>
      </c>
    </row>
    <row r="54" spans="1:83" ht="15" customHeight="1">
      <c r="A54" t="s">
        <v>139</v>
      </c>
      <c r="J54" t="s">
        <v>152</v>
      </c>
      <c r="M54" t="s">
        <v>148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214.3125</v>
      </c>
      <c r="Z54" t="b">
        <v>1</v>
      </c>
      <c r="AA54" t="b">
        <v>1</v>
      </c>
      <c r="CB54" t="s">
        <v>147</v>
      </c>
    </row>
    <row r="55" spans="1:83" ht="15" customHeight="1">
      <c r="A55" t="s">
        <v>139</v>
      </c>
      <c r="J55" t="s">
        <v>153</v>
      </c>
      <c r="M55" t="s">
        <v>144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265.78125</v>
      </c>
      <c r="Z55" t="b">
        <v>1</v>
      </c>
      <c r="AA55" t="b">
        <v>1</v>
      </c>
      <c r="CB55" t="s">
        <v>147</v>
      </c>
    </row>
    <row r="56" spans="1:83" ht="15" customHeight="1">
      <c r="A56" t="s">
        <v>139</v>
      </c>
      <c r="J56" t="s">
        <v>154</v>
      </c>
      <c r="M56" t="s">
        <v>144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342.56249999999994</v>
      </c>
      <c r="Z56" t="b">
        <v>1</v>
      </c>
      <c r="AA56" t="b">
        <v>1</v>
      </c>
      <c r="CB56" t="s">
        <v>147</v>
      </c>
    </row>
    <row r="57" spans="1:83" ht="15" customHeight="1">
      <c r="A57" t="s">
        <v>155</v>
      </c>
      <c r="B57" t="s">
        <v>156</v>
      </c>
      <c r="C57" s="1" t="s">
        <v>105</v>
      </c>
      <c r="D57" t="s">
        <v>86</v>
      </c>
      <c r="G57" t="s">
        <v>157</v>
      </c>
      <c r="H57" t="b">
        <v>1</v>
      </c>
      <c r="I57" t="s">
        <v>108</v>
      </c>
      <c r="J57" t="s">
        <v>158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0.61859889674681756</v>
      </c>
      <c r="Z57" t="b">
        <v>1</v>
      </c>
      <c r="AA57" t="b">
        <v>1</v>
      </c>
      <c r="AC57" t="s">
        <v>109</v>
      </c>
      <c r="AD57">
        <v>1</v>
      </c>
      <c r="AE57" t="s">
        <v>110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155</v>
      </c>
      <c r="J58" t="s">
        <v>159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0.84198183168316842</v>
      </c>
      <c r="Z58" t="b">
        <v>1</v>
      </c>
      <c r="AA58" t="b">
        <v>1</v>
      </c>
      <c r="CB58" t="s">
        <v>95</v>
      </c>
    </row>
    <row r="59" spans="1:83" ht="15" customHeight="1">
      <c r="A59" t="s">
        <v>155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1.0997313719943425</v>
      </c>
      <c r="Z59" t="b">
        <v>1</v>
      </c>
      <c r="AA59" t="b">
        <v>1</v>
      </c>
      <c r="CB59" t="s">
        <v>95</v>
      </c>
    </row>
    <row r="60" spans="1:83" ht="15" customHeight="1">
      <c r="A60" t="s">
        <v>155</v>
      </c>
      <c r="J60" t="s">
        <v>111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1.7183302687411603</v>
      </c>
      <c r="Z60" t="b">
        <v>1</v>
      </c>
      <c r="AA60" t="b">
        <v>1</v>
      </c>
      <c r="CB60" t="s">
        <v>95</v>
      </c>
    </row>
    <row r="61" spans="1:83" ht="15" customHeight="1">
      <c r="A61" t="s">
        <v>155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2.4743955869872702</v>
      </c>
      <c r="Z61" t="b">
        <v>1</v>
      </c>
      <c r="AA61" t="b">
        <v>1</v>
      </c>
      <c r="CB61" t="s">
        <v>95</v>
      </c>
    </row>
    <row r="62" spans="1:83" ht="15" customHeight="1">
      <c r="A62" t="s">
        <v>155</v>
      </c>
      <c r="J62" t="s">
        <v>112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3.8662431046676096</v>
      </c>
      <c r="Z62" t="b">
        <v>1</v>
      </c>
      <c r="AA62" t="b">
        <v>1</v>
      </c>
      <c r="CB62" t="s">
        <v>95</v>
      </c>
    </row>
    <row r="63" spans="1:83" ht="15" customHeight="1">
      <c r="A63" t="s">
        <v>155</v>
      </c>
      <c r="J63" t="s">
        <v>160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5.5673900707213573</v>
      </c>
      <c r="Z63" t="b">
        <v>1</v>
      </c>
      <c r="AA63" t="b">
        <v>1</v>
      </c>
      <c r="CB63" t="s">
        <v>95</v>
      </c>
    </row>
    <row r="64" spans="1:83" ht="15" customHeight="1">
      <c r="A64" t="s">
        <v>155</v>
      </c>
      <c r="J64" t="s">
        <v>161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6.8733210749646414</v>
      </c>
      <c r="Z64" t="b">
        <v>1</v>
      </c>
      <c r="AA64" t="b">
        <v>1</v>
      </c>
      <c r="CB64" t="s">
        <v>95</v>
      </c>
    </row>
    <row r="65" spans="1:83" ht="15" customHeight="1">
      <c r="A65" t="s">
        <v>155</v>
      </c>
      <c r="J65" t="s">
        <v>162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17.595701951909479</v>
      </c>
      <c r="Z65" t="b">
        <v>1</v>
      </c>
      <c r="AA65" t="b">
        <v>1</v>
      </c>
      <c r="CB65" t="s">
        <v>95</v>
      </c>
    </row>
    <row r="66" spans="1:83" ht="15" customHeight="1">
      <c r="A66" t="s">
        <v>163</v>
      </c>
      <c r="B66" t="s">
        <v>164</v>
      </c>
      <c r="C66" t="s">
        <v>165</v>
      </c>
      <c r="D66" t="s">
        <v>86</v>
      </c>
      <c r="E66" t="s">
        <v>106</v>
      </c>
      <c r="G66" t="s">
        <v>166</v>
      </c>
      <c r="H66" t="b">
        <v>1</v>
      </c>
      <c r="I66" t="s">
        <v>108</v>
      </c>
      <c r="J66" t="s">
        <v>121</v>
      </c>
      <c r="L66" t="s">
        <v>167</v>
      </c>
      <c r="M66" t="s">
        <v>168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0.97169287476927646</v>
      </c>
      <c r="Z66" t="b">
        <v>1</v>
      </c>
      <c r="AA66" t="b">
        <v>1</v>
      </c>
      <c r="AC66" t="s">
        <v>130</v>
      </c>
      <c r="AD66">
        <v>1</v>
      </c>
      <c r="AE66" t="s">
        <v>131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163</v>
      </c>
      <c r="J67" t="s">
        <v>121</v>
      </c>
      <c r="M67" t="s">
        <v>169</v>
      </c>
      <c r="S67">
        <v>0</v>
      </c>
      <c r="U67">
        <v>0</v>
      </c>
      <c r="V67" t="s">
        <v>93</v>
      </c>
      <c r="W67" t="s">
        <v>94</v>
      </c>
      <c r="X67" s="95">
        <f>X66*12</f>
        <v>11.660314497231317</v>
      </c>
      <c r="Z67" t="b">
        <v>1</v>
      </c>
      <c r="AA67" t="b">
        <v>1</v>
      </c>
      <c r="CB67" t="s">
        <v>95</v>
      </c>
    </row>
    <row r="68" spans="1:83" ht="15" customHeight="1">
      <c r="A68" t="s">
        <v>163</v>
      </c>
      <c r="J68" t="s">
        <v>122</v>
      </c>
      <c r="M68" t="s">
        <v>168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1.727453999589825</v>
      </c>
      <c r="Z68" t="b">
        <v>1</v>
      </c>
      <c r="AA68" t="b">
        <v>1</v>
      </c>
      <c r="CB68" t="s">
        <v>95</v>
      </c>
    </row>
    <row r="69" spans="1:83" ht="15" customHeight="1">
      <c r="A69" t="s">
        <v>163</v>
      </c>
      <c r="J69" t="s">
        <v>122</v>
      </c>
      <c r="M69" t="s">
        <v>169</v>
      </c>
      <c r="S69">
        <v>0</v>
      </c>
      <c r="U69">
        <v>-4</v>
      </c>
      <c r="V69" t="s">
        <v>93</v>
      </c>
      <c r="W69" t="s">
        <v>94</v>
      </c>
      <c r="X69" s="95">
        <f>X68*12</f>
        <v>20.729447995077901</v>
      </c>
      <c r="Z69" t="b">
        <v>1</v>
      </c>
      <c r="AA69" t="b">
        <v>1</v>
      </c>
      <c r="CB69" t="s">
        <v>95</v>
      </c>
    </row>
    <row r="70" spans="1:83" ht="15" customHeight="1">
      <c r="A70" t="s">
        <v>163</v>
      </c>
      <c r="J70" t="s">
        <v>123</v>
      </c>
      <c r="M70" t="s">
        <v>168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2.6991468743591014</v>
      </c>
      <c r="Z70" t="b">
        <v>1</v>
      </c>
      <c r="AA70" t="b">
        <v>1</v>
      </c>
      <c r="CB70" t="s">
        <v>95</v>
      </c>
    </row>
    <row r="71" spans="1:83" ht="15" customHeight="1">
      <c r="A71" t="s">
        <v>163</v>
      </c>
      <c r="J71" t="s">
        <v>123</v>
      </c>
      <c r="M71" t="s">
        <v>169</v>
      </c>
      <c r="S71">
        <v>0</v>
      </c>
      <c r="U71">
        <v>-1</v>
      </c>
      <c r="V71" t="s">
        <v>93</v>
      </c>
      <c r="W71" t="s">
        <v>94</v>
      </c>
      <c r="X71" s="95">
        <f>X70*12</f>
        <v>32.389762492309217</v>
      </c>
      <c r="Z71" t="b">
        <v>1</v>
      </c>
      <c r="AA71" t="b">
        <v>1</v>
      </c>
      <c r="CB71" t="s">
        <v>95</v>
      </c>
    </row>
    <row r="72" spans="1:83" ht="15" customHeight="1">
      <c r="A72" t="s">
        <v>163</v>
      </c>
      <c r="J72" t="s">
        <v>124</v>
      </c>
      <c r="M72" t="s">
        <v>168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3.8867714990771058</v>
      </c>
      <c r="Z72" t="b">
        <v>1</v>
      </c>
      <c r="AA72" t="b">
        <v>1</v>
      </c>
      <c r="CB72" t="s">
        <v>95</v>
      </c>
    </row>
    <row r="73" spans="1:83" ht="15" customHeight="1">
      <c r="A73" t="s">
        <v>163</v>
      </c>
      <c r="J73" t="s">
        <v>124</v>
      </c>
      <c r="M73" t="s">
        <v>169</v>
      </c>
      <c r="S73">
        <v>0</v>
      </c>
      <c r="U73">
        <v>-3</v>
      </c>
      <c r="V73" t="s">
        <v>93</v>
      </c>
      <c r="W73" t="s">
        <v>94</v>
      </c>
      <c r="X73" s="95">
        <f>X72*12</f>
        <v>46.641257988925268</v>
      </c>
      <c r="Z73" t="b">
        <v>1</v>
      </c>
      <c r="AA73" t="b">
        <v>1</v>
      </c>
      <c r="CB73" t="s">
        <v>95</v>
      </c>
    </row>
    <row r="74" spans="1:83" ht="15" customHeight="1">
      <c r="A74" t="s">
        <v>163</v>
      </c>
      <c r="J74" t="s">
        <v>125</v>
      </c>
      <c r="M74" t="s">
        <v>168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6.9098159983593002</v>
      </c>
      <c r="Z74" t="b">
        <v>1</v>
      </c>
      <c r="AA74" t="b">
        <v>1</v>
      </c>
      <c r="CB74" t="s">
        <v>95</v>
      </c>
    </row>
    <row r="75" spans="1:83" ht="15" customHeight="1">
      <c r="A75" t="s">
        <v>163</v>
      </c>
      <c r="J75" t="s">
        <v>125</v>
      </c>
      <c r="M75" t="s">
        <v>169</v>
      </c>
      <c r="S75">
        <v>0</v>
      </c>
      <c r="U75">
        <v>-1</v>
      </c>
      <c r="V75" t="s">
        <v>93</v>
      </c>
      <c r="W75" t="s">
        <v>94</v>
      </c>
      <c r="X75" s="95">
        <f>X74*12</f>
        <v>82.917791980311605</v>
      </c>
      <c r="Z75" t="b">
        <v>1</v>
      </c>
      <c r="AA75" t="b">
        <v>1</v>
      </c>
      <c r="CB75" t="s">
        <v>95</v>
      </c>
    </row>
    <row r="76" spans="1:83" ht="15" customHeight="1">
      <c r="A76" t="s">
        <v>163</v>
      </c>
      <c r="J76" t="s">
        <v>150</v>
      </c>
      <c r="M76" t="s">
        <v>168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10.796587497436406</v>
      </c>
      <c r="Z76" t="b">
        <v>1</v>
      </c>
      <c r="AA76" t="b">
        <v>1</v>
      </c>
      <c r="CB76" t="s">
        <v>95</v>
      </c>
    </row>
    <row r="77" spans="1:83" ht="15" customHeight="1">
      <c r="A77" t="s">
        <v>163</v>
      </c>
      <c r="J77" t="s">
        <v>150</v>
      </c>
      <c r="M77" t="s">
        <v>169</v>
      </c>
      <c r="S77">
        <v>0</v>
      </c>
      <c r="U77">
        <v>0</v>
      </c>
      <c r="V77" t="s">
        <v>93</v>
      </c>
      <c r="W77" t="s">
        <v>94</v>
      </c>
      <c r="X77" s="95">
        <f>X76*12</f>
        <v>129.55904996923687</v>
      </c>
      <c r="Z77" t="b">
        <v>1</v>
      </c>
      <c r="AA77" t="b">
        <v>1</v>
      </c>
      <c r="CB77" t="s">
        <v>95</v>
      </c>
    </row>
    <row r="78" spans="1:83" ht="15" customHeight="1">
      <c r="A78" t="s">
        <v>163</v>
      </c>
      <c r="J78" t="s">
        <v>151</v>
      </c>
      <c r="M78" t="s">
        <v>168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15.547085996308423</v>
      </c>
      <c r="Z78" t="b">
        <v>1</v>
      </c>
      <c r="AA78" t="b">
        <v>1</v>
      </c>
      <c r="CB78" t="s">
        <v>95</v>
      </c>
    </row>
    <row r="79" spans="1:83" ht="15" customHeight="1">
      <c r="A79" t="s">
        <v>163</v>
      </c>
      <c r="J79" t="s">
        <v>151</v>
      </c>
      <c r="M79" t="s">
        <v>169</v>
      </c>
      <c r="S79">
        <v>0</v>
      </c>
      <c r="U79">
        <v>-1</v>
      </c>
      <c r="V79" t="s">
        <v>93</v>
      </c>
      <c r="W79" t="s">
        <v>94</v>
      </c>
      <c r="X79" s="95">
        <f>X78*12</f>
        <v>186.56503195570107</v>
      </c>
      <c r="Z79" t="b">
        <v>1</v>
      </c>
      <c r="AA79" t="b">
        <v>1</v>
      </c>
      <c r="CB79" t="s">
        <v>95</v>
      </c>
    </row>
    <row r="80" spans="1:83" ht="15" customHeight="1">
      <c r="A80" t="s">
        <v>170</v>
      </c>
      <c r="B80" t="s">
        <v>171</v>
      </c>
      <c r="C80" s="1" t="s">
        <v>172</v>
      </c>
      <c r="D80" t="s">
        <v>86</v>
      </c>
      <c r="E80" t="s">
        <v>106</v>
      </c>
      <c r="G80" t="s">
        <v>173</v>
      </c>
      <c r="H80" t="b">
        <v>1</v>
      </c>
      <c r="I80" t="s">
        <v>108</v>
      </c>
      <c r="J80" t="s">
        <v>174</v>
      </c>
      <c r="L80" t="s">
        <v>175</v>
      </c>
      <c r="M80" t="s">
        <v>176</v>
      </c>
      <c r="O80" t="s">
        <v>177</v>
      </c>
      <c r="P80" t="s">
        <v>178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2.5185829698914031</v>
      </c>
      <c r="Z80" t="b">
        <v>1</v>
      </c>
      <c r="AA80" t="b">
        <v>1</v>
      </c>
      <c r="AC80" t="s">
        <v>179</v>
      </c>
      <c r="AD80">
        <v>1</v>
      </c>
      <c r="AE80" t="s">
        <v>180</v>
      </c>
      <c r="AF80" t="b">
        <v>0</v>
      </c>
      <c r="CB80" t="s">
        <v>95</v>
      </c>
      <c r="CE80" t="s">
        <v>96</v>
      </c>
    </row>
    <row r="81" spans="1:83" ht="15" customHeight="1">
      <c r="A81" t="s">
        <v>170</v>
      </c>
      <c r="J81" t="s">
        <v>174</v>
      </c>
      <c r="M81" t="s">
        <v>176</v>
      </c>
      <c r="P81" t="s">
        <v>181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54.481132075471699</v>
      </c>
      <c r="Z81" t="b">
        <v>1</v>
      </c>
      <c r="AA81" t="b">
        <v>1</v>
      </c>
      <c r="CB81" t="s">
        <v>95</v>
      </c>
    </row>
    <row r="82" spans="1:83" ht="15" customHeight="1">
      <c r="A82" t="s">
        <v>170</v>
      </c>
      <c r="J82" t="s">
        <v>182</v>
      </c>
      <c r="M82" t="s">
        <v>183</v>
      </c>
      <c r="P82" t="s">
        <v>178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6.9960638052538986</v>
      </c>
      <c r="Z82" t="b">
        <v>1</v>
      </c>
      <c r="AA82" t="b">
        <v>1</v>
      </c>
      <c r="CB82" t="s">
        <v>95</v>
      </c>
    </row>
    <row r="83" spans="1:83" ht="15" customHeight="1">
      <c r="A83" t="s">
        <v>170</v>
      </c>
      <c r="J83" t="s">
        <v>182</v>
      </c>
      <c r="M83" t="s">
        <v>183</v>
      </c>
      <c r="P83" t="s">
        <v>181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54.481132075471699</v>
      </c>
      <c r="Z83" t="b">
        <v>1</v>
      </c>
      <c r="AA83" t="b">
        <v>1</v>
      </c>
      <c r="CB83" t="s">
        <v>95</v>
      </c>
    </row>
    <row r="84" spans="1:83" ht="15" customHeight="1">
      <c r="A84" t="s">
        <v>170</v>
      </c>
      <c r="J84" t="s">
        <v>158</v>
      </c>
      <c r="M84" t="s">
        <v>176</v>
      </c>
      <c r="P84" t="s">
        <v>178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10.074331879565612</v>
      </c>
      <c r="Z84" t="b">
        <v>1</v>
      </c>
      <c r="AA84" t="b">
        <v>1</v>
      </c>
      <c r="CB84" t="s">
        <v>95</v>
      </c>
    </row>
    <row r="85" spans="1:83" ht="15" customHeight="1">
      <c r="A85" t="s">
        <v>170</v>
      </c>
      <c r="J85" t="s">
        <v>158</v>
      </c>
      <c r="M85" t="s">
        <v>176</v>
      </c>
      <c r="P85" t="s">
        <v>181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54.481132075471699</v>
      </c>
      <c r="Z85" t="b">
        <v>1</v>
      </c>
      <c r="AA85" t="b">
        <v>1</v>
      </c>
      <c r="CB85" t="s">
        <v>95</v>
      </c>
    </row>
    <row r="86" spans="1:83" ht="15" customHeight="1">
      <c r="A86" t="s">
        <v>170</v>
      </c>
      <c r="J86" t="s">
        <v>92</v>
      </c>
      <c r="M86" t="s">
        <v>176</v>
      </c>
      <c r="P86" t="s">
        <v>178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17.909923341449979</v>
      </c>
      <c r="Z86" t="b">
        <v>1</v>
      </c>
      <c r="AA86" t="b">
        <v>1</v>
      </c>
      <c r="CB86" t="s">
        <v>95</v>
      </c>
    </row>
    <row r="87" spans="1:83" ht="15" customHeight="1">
      <c r="A87" t="s">
        <v>170</v>
      </c>
      <c r="J87" t="s">
        <v>92</v>
      </c>
      <c r="M87" t="s">
        <v>176</v>
      </c>
      <c r="P87" t="s">
        <v>181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54.481132075471699</v>
      </c>
      <c r="Z87" t="b">
        <v>1</v>
      </c>
      <c r="AA87" t="b">
        <v>1</v>
      </c>
      <c r="CB87" t="s">
        <v>95</v>
      </c>
    </row>
    <row r="88" spans="1:83" ht="15" customHeight="1">
      <c r="A88" t="s">
        <v>170</v>
      </c>
      <c r="J88" t="s">
        <v>111</v>
      </c>
      <c r="M88" t="s">
        <v>176</v>
      </c>
      <c r="P88" t="s">
        <v>178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27.984255221015594</v>
      </c>
      <c r="Z88" t="b">
        <v>1</v>
      </c>
      <c r="AA88" t="b">
        <v>1</v>
      </c>
      <c r="CB88" t="s">
        <v>95</v>
      </c>
    </row>
    <row r="89" spans="1:83" ht="15" customHeight="1">
      <c r="A89" t="s">
        <v>170</v>
      </c>
      <c r="J89" t="s">
        <v>111</v>
      </c>
      <c r="M89" t="s">
        <v>176</v>
      </c>
      <c r="P89" t="s">
        <v>181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54.481132075471699</v>
      </c>
      <c r="Z89" t="b">
        <v>1</v>
      </c>
      <c r="AA89" t="b">
        <v>1</v>
      </c>
      <c r="CB89" t="s">
        <v>95</v>
      </c>
    </row>
    <row r="90" spans="1:83" ht="15" customHeight="1">
      <c r="A90" t="s">
        <v>170</v>
      </c>
      <c r="J90" t="s">
        <v>99</v>
      </c>
      <c r="M90" t="s">
        <v>176</v>
      </c>
      <c r="P90" t="s">
        <v>178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40.297327518262449</v>
      </c>
      <c r="Z90" t="b">
        <v>1</v>
      </c>
      <c r="AA90" t="b">
        <v>1</v>
      </c>
      <c r="CB90" t="s">
        <v>95</v>
      </c>
    </row>
    <row r="91" spans="1:83" ht="15" customHeight="1">
      <c r="A91" t="s">
        <v>170</v>
      </c>
      <c r="J91" t="s">
        <v>99</v>
      </c>
      <c r="M91" t="s">
        <v>176</v>
      </c>
      <c r="P91" t="s">
        <v>181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54.481132075471699</v>
      </c>
      <c r="Z91" t="b">
        <v>1</v>
      </c>
      <c r="AA91" t="b">
        <v>1</v>
      </c>
      <c r="CB91" t="s">
        <v>95</v>
      </c>
    </row>
    <row r="92" spans="1:83" ht="15" customHeight="1">
      <c r="A92" t="s">
        <v>170</v>
      </c>
      <c r="J92" t="s">
        <v>184</v>
      </c>
      <c r="M92" t="s">
        <v>176</v>
      </c>
      <c r="P92" t="s">
        <v>178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71.639693365799914</v>
      </c>
      <c r="Z92" t="b">
        <v>1</v>
      </c>
      <c r="AA92" t="b">
        <v>1</v>
      </c>
      <c r="CB92" t="s">
        <v>95</v>
      </c>
    </row>
    <row r="93" spans="1:83" ht="15" customHeight="1">
      <c r="A93" t="s">
        <v>170</v>
      </c>
      <c r="J93" t="s">
        <v>184</v>
      </c>
      <c r="M93" t="s">
        <v>176</v>
      </c>
      <c r="P93" t="s">
        <v>181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54.481132075471699</v>
      </c>
      <c r="Z93" t="b">
        <v>1</v>
      </c>
      <c r="AA93" t="b">
        <v>1</v>
      </c>
      <c r="CB93" t="s">
        <v>95</v>
      </c>
    </row>
    <row r="94" spans="1:83" ht="15" customHeight="1">
      <c r="A94" t="s">
        <v>185</v>
      </c>
      <c r="B94" t="s">
        <v>186</v>
      </c>
      <c r="C94" s="1" t="s">
        <v>187</v>
      </c>
      <c r="D94" t="s">
        <v>86</v>
      </c>
      <c r="E94" t="s">
        <v>106</v>
      </c>
      <c r="G94" t="s">
        <v>173</v>
      </c>
      <c r="H94" t="b">
        <v>1</v>
      </c>
      <c r="I94" t="s">
        <v>108</v>
      </c>
      <c r="J94" t="s">
        <v>194</v>
      </c>
      <c r="L94" t="s">
        <v>175</v>
      </c>
      <c r="M94" t="s">
        <v>176</v>
      </c>
      <c r="O94" t="s">
        <v>177</v>
      </c>
      <c r="P94" t="s">
        <v>178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1.1193702088406237</v>
      </c>
      <c r="Z94" t="b">
        <v>1</v>
      </c>
      <c r="AA94" t="b">
        <v>1</v>
      </c>
      <c r="AC94" t="s">
        <v>188</v>
      </c>
      <c r="AD94">
        <v>1</v>
      </c>
      <c r="AE94" t="s">
        <v>189</v>
      </c>
      <c r="AF94" t="b">
        <v>0</v>
      </c>
      <c r="CB94" t="s">
        <v>95</v>
      </c>
      <c r="CE94" t="s">
        <v>96</v>
      </c>
    </row>
    <row r="95" spans="1:83" ht="15" customHeight="1">
      <c r="A95" t="s">
        <v>185</v>
      </c>
      <c r="J95" t="s">
        <v>194</v>
      </c>
      <c r="M95" t="s">
        <v>176</v>
      </c>
      <c r="P95" t="s">
        <v>181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54.481132075471699</v>
      </c>
      <c r="Z95" t="b">
        <v>1</v>
      </c>
      <c r="AA95" t="b">
        <v>1</v>
      </c>
      <c r="CB95" t="s">
        <v>95</v>
      </c>
    </row>
    <row r="96" spans="1:83" ht="15" customHeight="1">
      <c r="A96" t="s">
        <v>185</v>
      </c>
      <c r="J96" t="s">
        <v>194</v>
      </c>
      <c r="M96" t="s">
        <v>183</v>
      </c>
      <c r="P96" t="s">
        <v>178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1.1193702088406237</v>
      </c>
      <c r="Z96" t="b">
        <v>1</v>
      </c>
      <c r="AA96" t="b">
        <v>1</v>
      </c>
      <c r="CB96" t="s">
        <v>95</v>
      </c>
    </row>
    <row r="97" spans="1:80" ht="15" customHeight="1">
      <c r="A97" t="s">
        <v>185</v>
      </c>
      <c r="J97" t="s">
        <v>194</v>
      </c>
      <c r="M97" t="s">
        <v>183</v>
      </c>
      <c r="P97" t="s">
        <v>181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54.481132075471699</v>
      </c>
      <c r="Z97" t="b">
        <v>1</v>
      </c>
      <c r="AA97" t="b">
        <v>1</v>
      </c>
      <c r="CB97" t="s">
        <v>95</v>
      </c>
    </row>
    <row r="98" spans="1:80" ht="15" customHeight="1">
      <c r="A98" t="s">
        <v>185</v>
      </c>
      <c r="J98" t="s">
        <v>193</v>
      </c>
      <c r="M98" t="s">
        <v>176</v>
      </c>
      <c r="P98" t="s">
        <v>178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1.611893100730498</v>
      </c>
      <c r="Z98" t="b">
        <v>1</v>
      </c>
      <c r="AA98" t="b">
        <v>1</v>
      </c>
      <c r="CB98" t="s">
        <v>95</v>
      </c>
    </row>
    <row r="99" spans="1:80" ht="15" customHeight="1">
      <c r="A99" t="s">
        <v>185</v>
      </c>
      <c r="J99" t="s">
        <v>193</v>
      </c>
      <c r="M99" t="s">
        <v>176</v>
      </c>
      <c r="P99" t="s">
        <v>181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54.481132075471699</v>
      </c>
      <c r="Z99" t="b">
        <v>1</v>
      </c>
      <c r="AA99" t="b">
        <v>1</v>
      </c>
      <c r="CB99" t="s">
        <v>95</v>
      </c>
    </row>
    <row r="100" spans="1:80" ht="15" customHeight="1">
      <c r="A100" t="s">
        <v>185</v>
      </c>
      <c r="J100" t="s">
        <v>193</v>
      </c>
      <c r="M100" t="s">
        <v>183</v>
      </c>
      <c r="P100" t="s">
        <v>178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1.611893100730498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185</v>
      </c>
      <c r="J101" t="s">
        <v>193</v>
      </c>
      <c r="M101" t="s">
        <v>183</v>
      </c>
      <c r="P101" t="s">
        <v>181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54.481132075471699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185</v>
      </c>
      <c r="J102" t="s">
        <v>192</v>
      </c>
      <c r="M102" t="s">
        <v>176</v>
      </c>
      <c r="P102" t="s">
        <v>178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2.1939656093276225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185</v>
      </c>
      <c r="J103" t="s">
        <v>192</v>
      </c>
      <c r="M103" t="s">
        <v>176</v>
      </c>
      <c r="P103" t="s">
        <v>181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54.481132075471699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185</v>
      </c>
      <c r="J104" t="s">
        <v>192</v>
      </c>
      <c r="M104" t="s">
        <v>183</v>
      </c>
      <c r="P104" t="s">
        <v>178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2.1939656093276225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185</v>
      </c>
      <c r="J105" t="s">
        <v>192</v>
      </c>
      <c r="M105" t="s">
        <v>183</v>
      </c>
      <c r="P105" t="s">
        <v>181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54.481132075471699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185</v>
      </c>
      <c r="J106" t="s">
        <v>174</v>
      </c>
      <c r="M106" t="s">
        <v>176</v>
      </c>
      <c r="P106" t="s">
        <v>178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2.5185829698914031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185</v>
      </c>
      <c r="J107" t="s">
        <v>174</v>
      </c>
      <c r="M107" t="s">
        <v>176</v>
      </c>
      <c r="P107" t="s">
        <v>181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54.481132075471699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185</v>
      </c>
      <c r="J108" t="s">
        <v>174</v>
      </c>
      <c r="M108" t="s">
        <v>183</v>
      </c>
      <c r="P108" t="s">
        <v>178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2.5185829698914031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185</v>
      </c>
      <c r="J109" t="s">
        <v>174</v>
      </c>
      <c r="M109" t="s">
        <v>183</v>
      </c>
      <c r="P109" t="s">
        <v>181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54.481132075471699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185</v>
      </c>
      <c r="J110" t="s">
        <v>191</v>
      </c>
      <c r="M110" t="s">
        <v>176</v>
      </c>
      <c r="P110" t="s">
        <v>178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4.4774808353624946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185</v>
      </c>
      <c r="J111" t="s">
        <v>191</v>
      </c>
      <c r="M111" t="s">
        <v>176</v>
      </c>
      <c r="P111" t="s">
        <v>181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54.481132075471699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185</v>
      </c>
      <c r="J112" t="s">
        <v>191</v>
      </c>
      <c r="M112" t="s">
        <v>183</v>
      </c>
      <c r="P112" t="s">
        <v>178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4.4774808353624946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185</v>
      </c>
      <c r="J113" t="s">
        <v>191</v>
      </c>
      <c r="M113" t="s">
        <v>183</v>
      </c>
      <c r="P113" t="s">
        <v>181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54.481132075471699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185</v>
      </c>
      <c r="J114" t="s">
        <v>182</v>
      </c>
      <c r="M114" t="s">
        <v>176</v>
      </c>
      <c r="P114" t="s">
        <v>178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6.9960638052538986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185</v>
      </c>
      <c r="J115" t="s">
        <v>182</v>
      </c>
      <c r="M115" t="s">
        <v>176</v>
      </c>
      <c r="P115" t="s">
        <v>181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54.481132075471699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185</v>
      </c>
      <c r="J116" t="s">
        <v>182</v>
      </c>
      <c r="M116" t="s">
        <v>183</v>
      </c>
      <c r="P116" t="s">
        <v>178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6.9960638052538986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185</v>
      </c>
      <c r="J117" t="s">
        <v>182</v>
      </c>
      <c r="M117" t="s">
        <v>183</v>
      </c>
      <c r="P117" t="s">
        <v>181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54.481132075471699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185</v>
      </c>
      <c r="J118" t="s">
        <v>158</v>
      </c>
      <c r="M118" t="s">
        <v>176</v>
      </c>
      <c r="P118" t="s">
        <v>178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10.074331879565612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185</v>
      </c>
      <c r="J119" t="s">
        <v>158</v>
      </c>
      <c r="M119" t="s">
        <v>176</v>
      </c>
      <c r="P119" t="s">
        <v>181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54.481132075471699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185</v>
      </c>
      <c r="J120" t="s">
        <v>158</v>
      </c>
      <c r="M120" t="s">
        <v>183</v>
      </c>
      <c r="P120" t="s">
        <v>178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10.074331879565612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185</v>
      </c>
      <c r="J121" t="s">
        <v>158</v>
      </c>
      <c r="M121" t="s">
        <v>183</v>
      </c>
      <c r="P121" t="s">
        <v>181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54.481132075471699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185</v>
      </c>
      <c r="J122" t="s">
        <v>159</v>
      </c>
      <c r="M122" t="s">
        <v>176</v>
      </c>
      <c r="P122" t="s">
        <v>178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13.712285058297642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185</v>
      </c>
      <c r="J123" t="s">
        <v>159</v>
      </c>
      <c r="M123" t="s">
        <v>176</v>
      </c>
      <c r="P123" t="s">
        <v>181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54.481132075471699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185</v>
      </c>
      <c r="J124" t="s">
        <v>159</v>
      </c>
      <c r="M124" t="s">
        <v>183</v>
      </c>
      <c r="P124" t="s">
        <v>178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13.712285058297642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185</v>
      </c>
      <c r="J125" t="s">
        <v>159</v>
      </c>
      <c r="M125" t="s">
        <v>183</v>
      </c>
      <c r="P125" t="s">
        <v>181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54.481132075471699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185</v>
      </c>
      <c r="J126" t="s">
        <v>92</v>
      </c>
      <c r="M126" t="s">
        <v>176</v>
      </c>
      <c r="P126" t="s">
        <v>178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17.909923341449979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185</v>
      </c>
      <c r="J127" t="s">
        <v>92</v>
      </c>
      <c r="M127" t="s">
        <v>176</v>
      </c>
      <c r="P127" t="s">
        <v>181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54.481132075471699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185</v>
      </c>
      <c r="J128" t="s">
        <v>92</v>
      </c>
      <c r="M128" t="s">
        <v>183</v>
      </c>
      <c r="P128" t="s">
        <v>178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17.909923341449979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185</v>
      </c>
      <c r="J129" t="s">
        <v>92</v>
      </c>
      <c r="M129" t="s">
        <v>183</v>
      </c>
      <c r="P129" t="s">
        <v>181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54.481132075471699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185</v>
      </c>
      <c r="J130" t="s">
        <v>190</v>
      </c>
      <c r="M130" t="s">
        <v>176</v>
      </c>
      <c r="P130" t="s">
        <v>178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22.667246729022629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185</v>
      </c>
      <c r="J131" t="s">
        <v>190</v>
      </c>
      <c r="M131" t="s">
        <v>176</v>
      </c>
      <c r="P131" t="s">
        <v>181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54.481132075471699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185</v>
      </c>
      <c r="J132" t="s">
        <v>190</v>
      </c>
      <c r="M132" t="s">
        <v>183</v>
      </c>
      <c r="P132" t="s">
        <v>178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22.667246729022629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185</v>
      </c>
      <c r="J133" t="s">
        <v>190</v>
      </c>
      <c r="M133" t="s">
        <v>183</v>
      </c>
      <c r="P133" t="s">
        <v>181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54.481132075471699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185</v>
      </c>
      <c r="J134" t="s">
        <v>111</v>
      </c>
      <c r="M134" t="s">
        <v>176</v>
      </c>
      <c r="P134" t="s">
        <v>178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27.984255221015594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185</v>
      </c>
      <c r="J135" t="s">
        <v>111</v>
      </c>
      <c r="M135" t="s">
        <v>176</v>
      </c>
      <c r="P135" t="s">
        <v>181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54.481132075471699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185</v>
      </c>
      <c r="J136" t="s">
        <v>111</v>
      </c>
      <c r="M136" t="s">
        <v>183</v>
      </c>
      <c r="P136" t="s">
        <v>178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27.984255221015594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185</v>
      </c>
      <c r="J137" t="s">
        <v>111</v>
      </c>
      <c r="M137" t="s">
        <v>183</v>
      </c>
      <c r="P137" t="s">
        <v>181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54.481132075471699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185</v>
      </c>
      <c r="J138" t="s">
        <v>99</v>
      </c>
      <c r="M138" t="s">
        <v>176</v>
      </c>
      <c r="P138" t="s">
        <v>178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40.297327518262449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185</v>
      </c>
      <c r="J139" t="s">
        <v>99</v>
      </c>
      <c r="M139" t="s">
        <v>176</v>
      </c>
      <c r="P139" t="s">
        <v>181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54.481132075471699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185</v>
      </c>
      <c r="J140" t="s">
        <v>99</v>
      </c>
      <c r="M140" t="s">
        <v>183</v>
      </c>
      <c r="P140" t="s">
        <v>178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40.297327518262449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185</v>
      </c>
      <c r="J141" t="s">
        <v>99</v>
      </c>
      <c r="M141" t="s">
        <v>183</v>
      </c>
      <c r="P141" t="s">
        <v>181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54.481132075471699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185</v>
      </c>
      <c r="J142" t="s">
        <v>184</v>
      </c>
      <c r="M142" t="s">
        <v>176</v>
      </c>
      <c r="P142" t="s">
        <v>178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71.639693365799914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185</v>
      </c>
      <c r="J143" t="s">
        <v>184</v>
      </c>
      <c r="M143" t="s">
        <v>176</v>
      </c>
      <c r="P143" t="s">
        <v>181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54.481132075471699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185</v>
      </c>
      <c r="J144" t="s">
        <v>184</v>
      </c>
      <c r="M144" t="s">
        <v>183</v>
      </c>
      <c r="P144" t="s">
        <v>178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71.639693365799914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185</v>
      </c>
      <c r="J145" t="s">
        <v>184</v>
      </c>
      <c r="M145" t="s">
        <v>183</v>
      </c>
      <c r="P145" t="s">
        <v>181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54.481132075471699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185</v>
      </c>
      <c r="J146" t="s">
        <v>160</v>
      </c>
      <c r="M146" t="s">
        <v>176</v>
      </c>
      <c r="P146" t="s">
        <v>178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90.668986916090518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185</v>
      </c>
      <c r="J147" t="s">
        <v>160</v>
      </c>
      <c r="M147" t="s">
        <v>176</v>
      </c>
      <c r="P147" t="s">
        <v>181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54.481132075471699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185</v>
      </c>
      <c r="J148" t="s">
        <v>160</v>
      </c>
      <c r="M148" t="s">
        <v>183</v>
      </c>
      <c r="P148" t="s">
        <v>178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90.668986916090518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185</v>
      </c>
      <c r="J149" t="s">
        <v>160</v>
      </c>
      <c r="M149" t="s">
        <v>183</v>
      </c>
      <c r="P149" t="s">
        <v>181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54.481132075471699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185</v>
      </c>
      <c r="J150" t="s">
        <v>161</v>
      </c>
      <c r="M150" t="s">
        <v>176</v>
      </c>
      <c r="P150" t="s">
        <v>178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111.93702088406238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185</v>
      </c>
      <c r="J151" t="s">
        <v>161</v>
      </c>
      <c r="M151" t="s">
        <v>176</v>
      </c>
      <c r="P151" t="s">
        <v>181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54.481132075471699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185</v>
      </c>
      <c r="J152" t="s">
        <v>161</v>
      </c>
      <c r="M152" t="s">
        <v>183</v>
      </c>
      <c r="P152" t="s">
        <v>178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111.93702088406238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185</v>
      </c>
      <c r="J153" t="s">
        <v>161</v>
      </c>
      <c r="M153" t="s">
        <v>183</v>
      </c>
      <c r="P153" t="s">
        <v>181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54.481132075471699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185</v>
      </c>
      <c r="J154" t="s">
        <v>100</v>
      </c>
      <c r="M154" t="s">
        <v>176</v>
      </c>
      <c r="P154" t="s">
        <v>178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174.90159513134745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185</v>
      </c>
      <c r="J155" t="s">
        <v>100</v>
      </c>
      <c r="M155" t="s">
        <v>176</v>
      </c>
      <c r="P155" t="s">
        <v>181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54.481132075471699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185</v>
      </c>
      <c r="J156" t="s">
        <v>100</v>
      </c>
      <c r="M156" t="s">
        <v>183</v>
      </c>
      <c r="P156" t="s">
        <v>178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174.90159513134745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185</v>
      </c>
      <c r="J157" t="s">
        <v>100</v>
      </c>
      <c r="M157" t="s">
        <v>183</v>
      </c>
      <c r="P157" t="s">
        <v>181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54.481132075471699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185</v>
      </c>
      <c r="J158" t="s">
        <v>162</v>
      </c>
      <c r="M158" t="s">
        <v>176</v>
      </c>
      <c r="P158" t="s">
        <v>178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286.55877346319966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185</v>
      </c>
      <c r="J159" t="s">
        <v>162</v>
      </c>
      <c r="M159" t="s">
        <v>176</v>
      </c>
      <c r="P159" t="s">
        <v>181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54.481132075471699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185</v>
      </c>
      <c r="J160" t="s">
        <v>162</v>
      </c>
      <c r="M160" t="s">
        <v>183</v>
      </c>
      <c r="P160" t="s">
        <v>178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286.55877346319966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185</v>
      </c>
      <c r="J161" t="s">
        <v>162</v>
      </c>
      <c r="M161" t="s">
        <v>183</v>
      </c>
      <c r="P161" t="s">
        <v>181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54.481132075471699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195</v>
      </c>
      <c r="B162" t="s">
        <v>196</v>
      </c>
      <c r="C162" s="1" t="s">
        <v>197</v>
      </c>
      <c r="D162" t="s">
        <v>86</v>
      </c>
      <c r="E162" t="s">
        <v>106</v>
      </c>
      <c r="G162" t="s">
        <v>198</v>
      </c>
      <c r="H162" t="b">
        <v>1</v>
      </c>
      <c r="I162" t="s">
        <v>108</v>
      </c>
      <c r="J162" t="s">
        <v>199</v>
      </c>
      <c r="L162" t="s">
        <v>175</v>
      </c>
      <c r="M162" t="s">
        <v>176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1.0014321643172288</v>
      </c>
      <c r="Z162" t="b">
        <v>1</v>
      </c>
      <c r="AA162" t="b">
        <v>1</v>
      </c>
      <c r="AC162" t="s">
        <v>200</v>
      </c>
      <c r="AD162">
        <v>1</v>
      </c>
      <c r="AE162" t="s">
        <v>201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195</v>
      </c>
      <c r="J163" t="s">
        <v>202</v>
      </c>
      <c r="M163" t="s">
        <v>176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1.7803238476750733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195</v>
      </c>
      <c r="J164" t="s">
        <v>194</v>
      </c>
      <c r="M164" t="s">
        <v>176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2.7817560119923024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195</v>
      </c>
      <c r="J165" t="s">
        <v>193</v>
      </c>
      <c r="M165" t="s">
        <v>176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4.0057286572689152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195</v>
      </c>
      <c r="J166" t="s">
        <v>174</v>
      </c>
      <c r="M166" t="s">
        <v>176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6.2589510269826807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195</v>
      </c>
      <c r="J167" t="s">
        <v>191</v>
      </c>
      <c r="M167" t="s">
        <v>176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11.12702404796921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195</v>
      </c>
      <c r="J168" t="s">
        <v>182</v>
      </c>
      <c r="M168" t="s">
        <v>176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17.38597507495189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195</v>
      </c>
      <c r="J169" t="s">
        <v>158</v>
      </c>
      <c r="M169" t="s">
        <v>176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25.035804107930723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195</v>
      </c>
      <c r="J170" t="s">
        <v>92</v>
      </c>
      <c r="M170" t="s">
        <v>176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44.508096191876838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195</v>
      </c>
      <c r="J171" t="s">
        <v>111</v>
      </c>
      <c r="M171" t="s">
        <v>176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69.543900299807561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195</v>
      </c>
      <c r="J172" t="s">
        <v>99</v>
      </c>
      <c r="M172" t="s">
        <v>176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100.14321643172289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195</v>
      </c>
      <c r="J173" t="s">
        <v>184</v>
      </c>
      <c r="M173" t="s">
        <v>176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178.03238476750735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195</v>
      </c>
      <c r="J174" t="s">
        <v>161</v>
      </c>
      <c r="M174" t="s">
        <v>176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278.17560119923024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195</v>
      </c>
      <c r="J175" t="s">
        <v>100</v>
      </c>
      <c r="M175" t="s">
        <v>176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434.64937687379728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203</v>
      </c>
      <c r="B176" t="s">
        <v>204</v>
      </c>
      <c r="C176" s="1" t="s">
        <v>205</v>
      </c>
      <c r="D176" t="s">
        <v>86</v>
      </c>
      <c r="E176" t="s">
        <v>106</v>
      </c>
      <c r="G176" t="s">
        <v>206</v>
      </c>
      <c r="H176" t="b">
        <v>1</v>
      </c>
      <c r="I176" t="s">
        <v>108</v>
      </c>
      <c r="J176" t="s">
        <v>92</v>
      </c>
      <c r="L176" t="s">
        <v>175</v>
      </c>
      <c r="M176" t="s">
        <v>176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18.231324652132397</v>
      </c>
      <c r="Z176" t="b">
        <v>1</v>
      </c>
      <c r="AA176" t="b">
        <v>1</v>
      </c>
      <c r="AC176" t="s">
        <v>207</v>
      </c>
      <c r="AD176">
        <v>1</v>
      </c>
      <c r="AE176" t="s">
        <v>208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203</v>
      </c>
      <c r="J177" t="s">
        <v>92</v>
      </c>
      <c r="M177" t="s">
        <v>183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18.231324652132397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209</v>
      </c>
      <c r="B178" t="s">
        <v>210</v>
      </c>
      <c r="C178" s="1" t="s">
        <v>211</v>
      </c>
      <c r="D178" t="s">
        <v>86</v>
      </c>
      <c r="E178" t="s">
        <v>106</v>
      </c>
      <c r="F178" t="s">
        <v>212</v>
      </c>
      <c r="G178" t="s">
        <v>213</v>
      </c>
      <c r="H178" t="b">
        <v>1</v>
      </c>
      <c r="I178" t="s">
        <v>108</v>
      </c>
      <c r="J178" t="s">
        <v>194</v>
      </c>
      <c r="L178" t="s">
        <v>175</v>
      </c>
      <c r="M178" t="s">
        <v>176</v>
      </c>
      <c r="O178" t="s">
        <v>177</v>
      </c>
      <c r="P178" t="s">
        <v>178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0.63752224186894568</v>
      </c>
      <c r="Z178" t="b">
        <v>1</v>
      </c>
      <c r="AA178" t="b">
        <v>1</v>
      </c>
      <c r="AC178" t="s">
        <v>214</v>
      </c>
      <c r="AD178">
        <v>1</v>
      </c>
      <c r="AE178" t="s">
        <v>215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209</v>
      </c>
      <c r="J179" t="s">
        <v>194</v>
      </c>
      <c r="M179" t="s">
        <v>176</v>
      </c>
      <c r="P179" t="s">
        <v>216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124.11598302687412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209</v>
      </c>
      <c r="J180" t="s">
        <v>194</v>
      </c>
      <c r="M180" t="s">
        <v>183</v>
      </c>
      <c r="P180" t="s">
        <v>178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0.63752224186894568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209</v>
      </c>
      <c r="J181" t="s">
        <v>194</v>
      </c>
      <c r="M181" t="s">
        <v>183</v>
      </c>
      <c r="P181" t="s">
        <v>216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124.11598302687412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209</v>
      </c>
      <c r="J182" t="s">
        <v>193</v>
      </c>
      <c r="M182" t="s">
        <v>176</v>
      </c>
      <c r="P182" t="s">
        <v>178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0.91803202829128172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209</v>
      </c>
      <c r="J183" t="s">
        <v>193</v>
      </c>
      <c r="M183" t="s">
        <v>176</v>
      </c>
      <c r="P183" t="s">
        <v>216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124.11598302687412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209</v>
      </c>
      <c r="J184" t="s">
        <v>193</v>
      </c>
      <c r="M184" t="s">
        <v>183</v>
      </c>
      <c r="P184" t="s">
        <v>178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0.91803202829128172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209</v>
      </c>
      <c r="J185" t="s">
        <v>193</v>
      </c>
      <c r="M185" t="s">
        <v>183</v>
      </c>
      <c r="P185" t="s">
        <v>216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124.11598302687412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209</v>
      </c>
      <c r="J186" t="s">
        <v>192</v>
      </c>
      <c r="M186" t="s">
        <v>176</v>
      </c>
      <c r="P186" t="s">
        <v>178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1.2495435940631339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209</v>
      </c>
      <c r="J187" t="s">
        <v>192</v>
      </c>
      <c r="M187" t="s">
        <v>176</v>
      </c>
      <c r="P187" t="s">
        <v>216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124.11598302687412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209</v>
      </c>
      <c r="J188" t="s">
        <v>192</v>
      </c>
      <c r="M188" t="s">
        <v>183</v>
      </c>
      <c r="P188" t="s">
        <v>178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1.2495435940631339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209</v>
      </c>
      <c r="J189" t="s">
        <v>192</v>
      </c>
      <c r="M189" t="s">
        <v>183</v>
      </c>
      <c r="P189" t="s">
        <v>216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124.11598302687412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209</v>
      </c>
      <c r="J190" t="s">
        <v>174</v>
      </c>
      <c r="M190" t="s">
        <v>176</v>
      </c>
      <c r="P190" t="s">
        <v>178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1.4344250442051278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209</v>
      </c>
      <c r="J191" t="s">
        <v>174</v>
      </c>
      <c r="M191" t="s">
        <v>176</v>
      </c>
      <c r="P191" t="s">
        <v>216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124.11598302687412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209</v>
      </c>
      <c r="J192" t="s">
        <v>174</v>
      </c>
      <c r="M192" t="s">
        <v>183</v>
      </c>
      <c r="P192" t="s">
        <v>178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1.4344250442051278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209</v>
      </c>
      <c r="J193" t="s">
        <v>174</v>
      </c>
      <c r="M193" t="s">
        <v>183</v>
      </c>
      <c r="P193" t="s">
        <v>216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124.11598302687412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209</v>
      </c>
      <c r="J194" t="s">
        <v>191</v>
      </c>
      <c r="M194" t="s">
        <v>176</v>
      </c>
      <c r="P194" t="s">
        <v>178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2.5500889674757827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209</v>
      </c>
      <c r="J195" t="s">
        <v>191</v>
      </c>
      <c r="M195" t="s">
        <v>176</v>
      </c>
      <c r="P195" t="s">
        <v>216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124.11598302687412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209</v>
      </c>
      <c r="J196" t="s">
        <v>191</v>
      </c>
      <c r="M196" t="s">
        <v>183</v>
      </c>
      <c r="P196" t="s">
        <v>178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2.5500889674757827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209</v>
      </c>
      <c r="J197" t="s">
        <v>191</v>
      </c>
      <c r="M197" t="s">
        <v>183</v>
      </c>
      <c r="P197" t="s">
        <v>216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124.11598302687412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209</v>
      </c>
      <c r="J198" t="s">
        <v>182</v>
      </c>
      <c r="M198" t="s">
        <v>176</v>
      </c>
      <c r="P198" t="s">
        <v>178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3.9845140116809117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209</v>
      </c>
      <c r="J199" t="s">
        <v>182</v>
      </c>
      <c r="M199" t="s">
        <v>176</v>
      </c>
      <c r="P199" t="s">
        <v>216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124.11598302687412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209</v>
      </c>
      <c r="J200" t="s">
        <v>182</v>
      </c>
      <c r="M200" t="s">
        <v>183</v>
      </c>
      <c r="P200" t="s">
        <v>178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3.9845140116809117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209</v>
      </c>
      <c r="J201" t="s">
        <v>182</v>
      </c>
      <c r="M201" t="s">
        <v>183</v>
      </c>
      <c r="P201" t="s">
        <v>216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124.11598302687412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209</v>
      </c>
      <c r="J202" t="s">
        <v>158</v>
      </c>
      <c r="M202" t="s">
        <v>176</v>
      </c>
      <c r="P202" t="s">
        <v>178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5.7377001768205114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209</v>
      </c>
      <c r="J203" t="s">
        <v>158</v>
      </c>
      <c r="M203" t="s">
        <v>176</v>
      </c>
      <c r="P203" t="s">
        <v>216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124.11598302687412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209</v>
      </c>
      <c r="J204" t="s">
        <v>158</v>
      </c>
      <c r="M204" t="s">
        <v>183</v>
      </c>
      <c r="P204" t="s">
        <v>178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5.7377001768205114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209</v>
      </c>
      <c r="J205" t="s">
        <v>158</v>
      </c>
      <c r="M205" t="s">
        <v>183</v>
      </c>
      <c r="P205" t="s">
        <v>216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124.11598302687412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209</v>
      </c>
      <c r="J206" t="s">
        <v>159</v>
      </c>
      <c r="M206" t="s">
        <v>176</v>
      </c>
      <c r="P206" t="s">
        <v>178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7.8096474628945858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209</v>
      </c>
      <c r="J207" t="s">
        <v>159</v>
      </c>
      <c r="M207" t="s">
        <v>176</v>
      </c>
      <c r="P207" t="s">
        <v>216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124.11598302687412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209</v>
      </c>
      <c r="J208" t="s">
        <v>159</v>
      </c>
      <c r="M208" t="s">
        <v>183</v>
      </c>
      <c r="P208" t="s">
        <v>178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7.8096474628945858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209</v>
      </c>
      <c r="J209" t="s">
        <v>159</v>
      </c>
      <c r="M209" t="s">
        <v>183</v>
      </c>
      <c r="P209" t="s">
        <v>216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124.11598302687412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209</v>
      </c>
      <c r="J210" t="s">
        <v>92</v>
      </c>
      <c r="M210" t="s">
        <v>176</v>
      </c>
      <c r="P210" t="s">
        <v>178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10.200355869903131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209</v>
      </c>
      <c r="J211" t="s">
        <v>92</v>
      </c>
      <c r="M211" t="s">
        <v>176</v>
      </c>
      <c r="P211" t="s">
        <v>216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124.11598302687412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209</v>
      </c>
      <c r="J212" t="s">
        <v>92</v>
      </c>
      <c r="M212" t="s">
        <v>183</v>
      </c>
      <c r="P212" t="s">
        <v>178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10.200355869903131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209</v>
      </c>
      <c r="J213" t="s">
        <v>92</v>
      </c>
      <c r="M213" t="s">
        <v>183</v>
      </c>
      <c r="P213" t="s">
        <v>216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124.11598302687412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209</v>
      </c>
      <c r="J214" t="s">
        <v>190</v>
      </c>
      <c r="M214" t="s">
        <v>176</v>
      </c>
      <c r="P214" t="s">
        <v>178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12.909825397846152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209</v>
      </c>
      <c r="J215" t="s">
        <v>190</v>
      </c>
      <c r="M215" t="s">
        <v>176</v>
      </c>
      <c r="P215" t="s">
        <v>216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124.11598302687412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209</v>
      </c>
      <c r="J216" t="s">
        <v>190</v>
      </c>
      <c r="M216" t="s">
        <v>183</v>
      </c>
      <c r="P216" t="s">
        <v>178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12.909825397846152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209</v>
      </c>
      <c r="J217" t="s">
        <v>190</v>
      </c>
      <c r="M217" t="s">
        <v>183</v>
      </c>
      <c r="P217" t="s">
        <v>216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124.11598302687412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209</v>
      </c>
      <c r="J218" t="s">
        <v>111</v>
      </c>
      <c r="M218" t="s">
        <v>176</v>
      </c>
      <c r="P218" t="s">
        <v>178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15.938056046723647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209</v>
      </c>
      <c r="J219" t="s">
        <v>111</v>
      </c>
      <c r="M219" t="s">
        <v>176</v>
      </c>
      <c r="P219" t="s">
        <v>216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124.11598302687412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209</v>
      </c>
      <c r="J220" t="s">
        <v>111</v>
      </c>
      <c r="M220" t="s">
        <v>183</v>
      </c>
      <c r="P220" t="s">
        <v>178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15.938056046723647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209</v>
      </c>
      <c r="J221" t="s">
        <v>111</v>
      </c>
      <c r="M221" t="s">
        <v>183</v>
      </c>
      <c r="P221" t="s">
        <v>216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124.11598302687412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209</v>
      </c>
      <c r="J222" t="s">
        <v>99</v>
      </c>
      <c r="M222" t="s">
        <v>176</v>
      </c>
      <c r="P222" t="s">
        <v>178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22.950800707282045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209</v>
      </c>
      <c r="J223" t="s">
        <v>99</v>
      </c>
      <c r="M223" t="s">
        <v>176</v>
      </c>
      <c r="P223" t="s">
        <v>216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124.11598302687412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209</v>
      </c>
      <c r="J224" t="s">
        <v>99</v>
      </c>
      <c r="M224" t="s">
        <v>183</v>
      </c>
      <c r="P224" t="s">
        <v>178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22.950800707282045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209</v>
      </c>
      <c r="J225" t="s">
        <v>99</v>
      </c>
      <c r="M225" t="s">
        <v>183</v>
      </c>
      <c r="P225" t="s">
        <v>216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124.11598302687412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209</v>
      </c>
      <c r="J226" t="s">
        <v>217</v>
      </c>
      <c r="M226" t="s">
        <v>176</v>
      </c>
      <c r="P226" t="s">
        <v>178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31.238589851578343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209</v>
      </c>
      <c r="J227" t="s">
        <v>217</v>
      </c>
      <c r="M227" t="s">
        <v>176</v>
      </c>
      <c r="P227" t="s">
        <v>216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124.11598302687412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209</v>
      </c>
      <c r="J228" t="s">
        <v>217</v>
      </c>
      <c r="M228" t="s">
        <v>183</v>
      </c>
      <c r="P228" t="s">
        <v>178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31.238589851578343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209</v>
      </c>
      <c r="J229" t="s">
        <v>217</v>
      </c>
      <c r="M229" t="s">
        <v>183</v>
      </c>
      <c r="P229" t="s">
        <v>216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124.11598302687412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209</v>
      </c>
      <c r="J230" t="s">
        <v>184</v>
      </c>
      <c r="M230" t="s">
        <v>176</v>
      </c>
      <c r="P230" t="s">
        <v>178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40.801423479612524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209</v>
      </c>
      <c r="J231" t="s">
        <v>184</v>
      </c>
      <c r="M231" t="s">
        <v>176</v>
      </c>
      <c r="P231" t="s">
        <v>216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124.11598302687412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209</v>
      </c>
      <c r="J232" t="s">
        <v>184</v>
      </c>
      <c r="M232" t="s">
        <v>183</v>
      </c>
      <c r="P232" t="s">
        <v>178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40.801423479612524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209</v>
      </c>
      <c r="J233" t="s">
        <v>184</v>
      </c>
      <c r="M233" t="s">
        <v>183</v>
      </c>
      <c r="P233" t="s">
        <v>216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124.11598302687412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209</v>
      </c>
      <c r="J234" t="s">
        <v>160</v>
      </c>
      <c r="M234" t="s">
        <v>176</v>
      </c>
      <c r="P234" t="s">
        <v>178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51.639301591384609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209</v>
      </c>
      <c r="J235" t="s">
        <v>160</v>
      </c>
      <c r="M235" t="s">
        <v>176</v>
      </c>
      <c r="P235" t="s">
        <v>216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124.11598302687412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209</v>
      </c>
      <c r="J236" t="s">
        <v>160</v>
      </c>
      <c r="M236" t="s">
        <v>183</v>
      </c>
      <c r="P236" t="s">
        <v>178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51.639301591384609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209</v>
      </c>
      <c r="J237" t="s">
        <v>160</v>
      </c>
      <c r="M237" t="s">
        <v>183</v>
      </c>
      <c r="P237" t="s">
        <v>216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124.11598302687412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209</v>
      </c>
      <c r="J238" t="s">
        <v>161</v>
      </c>
      <c r="M238" t="s">
        <v>176</v>
      </c>
      <c r="P238" t="s">
        <v>178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63.752224186894587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209</v>
      </c>
      <c r="J239" t="s">
        <v>161</v>
      </c>
      <c r="M239" t="s">
        <v>176</v>
      </c>
      <c r="P239" t="s">
        <v>216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124.11598302687412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209</v>
      </c>
      <c r="J240" t="s">
        <v>161</v>
      </c>
      <c r="M240" t="s">
        <v>183</v>
      </c>
      <c r="P240" t="s">
        <v>178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63.752224186894587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209</v>
      </c>
      <c r="J241" t="s">
        <v>161</v>
      </c>
      <c r="M241" t="s">
        <v>183</v>
      </c>
      <c r="P241" t="s">
        <v>216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124.11598302687412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209</v>
      </c>
      <c r="J242" t="s">
        <v>100</v>
      </c>
      <c r="M242" t="s">
        <v>176</v>
      </c>
      <c r="P242" t="s">
        <v>178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99.612850292022756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209</v>
      </c>
      <c r="J243" t="s">
        <v>100</v>
      </c>
      <c r="M243" t="s">
        <v>176</v>
      </c>
      <c r="P243" t="s">
        <v>216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124.11598302687412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209</v>
      </c>
      <c r="J244" t="s">
        <v>100</v>
      </c>
      <c r="M244" t="s">
        <v>183</v>
      </c>
      <c r="P244" t="s">
        <v>178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99.612850292022756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209</v>
      </c>
      <c r="J245" t="s">
        <v>100</v>
      </c>
      <c r="M245" t="s">
        <v>183</v>
      </c>
      <c r="P245" t="s">
        <v>216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124.11598302687412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209</v>
      </c>
      <c r="J246" t="s">
        <v>162</v>
      </c>
      <c r="M246" t="s">
        <v>176</v>
      </c>
      <c r="P246" t="s">
        <v>178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163.20569391845009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209</v>
      </c>
      <c r="J247" t="s">
        <v>162</v>
      </c>
      <c r="M247" t="s">
        <v>176</v>
      </c>
      <c r="P247" t="s">
        <v>216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124.11598302687412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209</v>
      </c>
      <c r="J248" t="s">
        <v>162</v>
      </c>
      <c r="M248" t="s">
        <v>183</v>
      </c>
      <c r="P248" t="s">
        <v>178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163.20569391845009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209</v>
      </c>
      <c r="J249" t="s">
        <v>162</v>
      </c>
      <c r="M249" t="s">
        <v>183</v>
      </c>
      <c r="P249" t="s">
        <v>216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124.11598302687412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218</v>
      </c>
      <c r="B250" t="s">
        <v>219</v>
      </c>
      <c r="C250" s="1" t="s">
        <v>172</v>
      </c>
      <c r="D250" t="s">
        <v>86</v>
      </c>
      <c r="E250" t="s">
        <v>106</v>
      </c>
      <c r="G250" t="s">
        <v>213</v>
      </c>
      <c r="H250" t="b">
        <v>1</v>
      </c>
      <c r="I250" t="s">
        <v>108</v>
      </c>
      <c r="J250" t="s">
        <v>194</v>
      </c>
      <c r="L250" t="s">
        <v>175</v>
      </c>
      <c r="M250" t="s">
        <v>176</v>
      </c>
      <c r="O250" t="s">
        <v>220</v>
      </c>
      <c r="P250" t="s">
        <v>169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0.7085098852517635</v>
      </c>
      <c r="Z250" t="b">
        <v>1</v>
      </c>
      <c r="AA250" t="b">
        <v>1</v>
      </c>
      <c r="AC250" t="s">
        <v>221</v>
      </c>
      <c r="AD250">
        <v>1</v>
      </c>
      <c r="AE250" t="s">
        <v>222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218</v>
      </c>
      <c r="J251" t="s">
        <v>194</v>
      </c>
      <c r="M251" t="s">
        <v>176</v>
      </c>
      <c r="P251" t="s">
        <v>223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136.6822429906542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218</v>
      </c>
      <c r="J252" t="s">
        <v>193</v>
      </c>
      <c r="M252" t="s">
        <v>176</v>
      </c>
      <c r="P252" t="s">
        <v>169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1.0202542347625396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218</v>
      </c>
      <c r="J253" t="s">
        <v>193</v>
      </c>
      <c r="M253" t="s">
        <v>176</v>
      </c>
      <c r="P253" t="s">
        <v>223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136.6822429906542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218</v>
      </c>
      <c r="J254" t="s">
        <v>174</v>
      </c>
      <c r="M254" t="s">
        <v>176</v>
      </c>
      <c r="P254" t="s">
        <v>169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1.5941472418164677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218</v>
      </c>
      <c r="J255" t="s">
        <v>174</v>
      </c>
      <c r="M255" t="s">
        <v>176</v>
      </c>
      <c r="P255" t="s">
        <v>223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136.6822429906542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218</v>
      </c>
      <c r="J256" t="s">
        <v>191</v>
      </c>
      <c r="M256" t="s">
        <v>176</v>
      </c>
      <c r="P256" t="s">
        <v>169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2.834039541007054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218</v>
      </c>
      <c r="J257" t="s">
        <v>191</v>
      </c>
      <c r="M257" t="s">
        <v>176</v>
      </c>
      <c r="P257" t="s">
        <v>223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136.6822429906542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218</v>
      </c>
      <c r="J258" t="s">
        <v>182</v>
      </c>
      <c r="M258" t="s">
        <v>176</v>
      </c>
      <c r="P258" t="s">
        <v>169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4.4281867828235217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218</v>
      </c>
      <c r="J259" t="s">
        <v>182</v>
      </c>
      <c r="M259" t="s">
        <v>176</v>
      </c>
      <c r="P259" t="s">
        <v>223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136.6822429906542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218</v>
      </c>
      <c r="J260" t="s">
        <v>158</v>
      </c>
      <c r="M260" t="s">
        <v>176</v>
      </c>
      <c r="P260" t="s">
        <v>169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6.3765889672658709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218</v>
      </c>
      <c r="J261" t="s">
        <v>158</v>
      </c>
      <c r="M261" t="s">
        <v>176</v>
      </c>
      <c r="P261" t="s">
        <v>223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136.6822429906542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218</v>
      </c>
      <c r="J262" t="s">
        <v>92</v>
      </c>
      <c r="M262" t="s">
        <v>176</v>
      </c>
      <c r="P262" t="s">
        <v>169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11.336158164028216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218</v>
      </c>
      <c r="J263" t="s">
        <v>92</v>
      </c>
      <c r="M263" t="s">
        <v>176</v>
      </c>
      <c r="P263" t="s">
        <v>223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136.6822429906542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218</v>
      </c>
      <c r="J264" t="s">
        <v>111</v>
      </c>
      <c r="M264" t="s">
        <v>176</v>
      </c>
      <c r="P264" t="s">
        <v>169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17.712747131294087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218</v>
      </c>
      <c r="J265" t="s">
        <v>111</v>
      </c>
      <c r="M265" t="s">
        <v>176</v>
      </c>
      <c r="P265" t="s">
        <v>223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136.6822429906542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218</v>
      </c>
      <c r="J266" t="s">
        <v>99</v>
      </c>
      <c r="M266" t="s">
        <v>176</v>
      </c>
      <c r="P266" t="s">
        <v>169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25.506355869063484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218</v>
      </c>
      <c r="J267" t="s">
        <v>99</v>
      </c>
      <c r="M267" t="s">
        <v>176</v>
      </c>
      <c r="P267" t="s">
        <v>223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136.6822429906542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218</v>
      </c>
      <c r="J268" t="s">
        <v>184</v>
      </c>
      <c r="M268" t="s">
        <v>176</v>
      </c>
      <c r="P268" t="s">
        <v>169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45.344632656112864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218</v>
      </c>
      <c r="J269" t="s">
        <v>184</v>
      </c>
      <c r="M269" t="s">
        <v>176</v>
      </c>
      <c r="P269" t="s">
        <v>223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136.6822429906542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218</v>
      </c>
      <c r="J270" t="s">
        <v>161</v>
      </c>
      <c r="M270" t="s">
        <v>176</v>
      </c>
      <c r="P270" t="s">
        <v>169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70.850988525176348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218</v>
      </c>
      <c r="J271" t="s">
        <v>161</v>
      </c>
      <c r="M271" t="s">
        <v>176</v>
      </c>
      <c r="P271" t="s">
        <v>223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136.6822429906542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218</v>
      </c>
      <c r="J272" t="s">
        <v>100</v>
      </c>
      <c r="M272" t="s">
        <v>176</v>
      </c>
      <c r="P272" t="s">
        <v>169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110.70466957058805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218</v>
      </c>
      <c r="J273" t="s">
        <v>100</v>
      </c>
      <c r="M273" t="s">
        <v>176</v>
      </c>
      <c r="P273" t="s">
        <v>223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136.6822429906542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218</v>
      </c>
      <c r="J274" t="s">
        <v>162</v>
      </c>
      <c r="M274" t="s">
        <v>176</v>
      </c>
      <c r="P274" t="s">
        <v>169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181.37853062445146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218</v>
      </c>
      <c r="J275" t="s">
        <v>162</v>
      </c>
      <c r="M275" t="s">
        <v>176</v>
      </c>
      <c r="P275" t="s">
        <v>223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136.6822429906542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224</v>
      </c>
      <c r="B276" t="s">
        <v>225</v>
      </c>
      <c r="C276" t="s">
        <v>226</v>
      </c>
      <c r="D276" t="s">
        <v>86</v>
      </c>
      <c r="E276" t="s">
        <v>106</v>
      </c>
      <c r="G276" t="s">
        <v>227</v>
      </c>
      <c r="H276" t="b">
        <v>1</v>
      </c>
      <c r="I276" t="s">
        <v>108</v>
      </c>
      <c r="J276" t="s">
        <v>194</v>
      </c>
      <c r="L276" t="s">
        <v>175</v>
      </c>
      <c r="M276" t="s">
        <v>176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4.1820455425922436</v>
      </c>
      <c r="Z276" t="b">
        <v>1</v>
      </c>
      <c r="AA276" t="b">
        <v>1</v>
      </c>
      <c r="AC276" t="s">
        <v>228</v>
      </c>
      <c r="AD276">
        <v>1</v>
      </c>
      <c r="AE276" t="s">
        <v>229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224</v>
      </c>
      <c r="J277" t="s">
        <v>193</v>
      </c>
      <c r="M277" t="s">
        <v>176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6.0221455813328308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224</v>
      </c>
      <c r="J278" t="s">
        <v>174</v>
      </c>
      <c r="M278" t="s">
        <v>176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9.4096024708325476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224</v>
      </c>
      <c r="J279" t="s">
        <v>191</v>
      </c>
      <c r="M279" t="s">
        <v>176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16.728182170368974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224</v>
      </c>
      <c r="J280" t="s">
        <v>182</v>
      </c>
      <c r="M280" t="s">
        <v>176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26.137784641201524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224</v>
      </c>
      <c r="J281" t="s">
        <v>158</v>
      </c>
      <c r="M281" t="s">
        <v>176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37.638409883330191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224</v>
      </c>
      <c r="J282" t="s">
        <v>159</v>
      </c>
      <c r="M282" t="s">
        <v>176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51.230057896754985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224</v>
      </c>
      <c r="J283" t="s">
        <v>92</v>
      </c>
      <c r="M283" t="s">
        <v>176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66.912728681475897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224</v>
      </c>
      <c r="J284" t="s">
        <v>111</v>
      </c>
      <c r="M284" t="s">
        <v>176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104.5511385648061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224</v>
      </c>
      <c r="J285" t="s">
        <v>99</v>
      </c>
      <c r="M285" t="s">
        <v>176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150.55363953332076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224</v>
      </c>
      <c r="J286" t="s">
        <v>184</v>
      </c>
      <c r="M286" t="s">
        <v>176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267.65091472590359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224</v>
      </c>
      <c r="J287" t="s">
        <v>161</v>
      </c>
      <c r="M287" t="s">
        <v>176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418.20455425922438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224</v>
      </c>
      <c r="J288" t="s">
        <v>162</v>
      </c>
      <c r="M288" t="s">
        <v>176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1070.6036589036144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230</v>
      </c>
      <c r="B289" t="s">
        <v>231</v>
      </c>
      <c r="C289" s="1" t="s">
        <v>205</v>
      </c>
      <c r="D289" t="s">
        <v>86</v>
      </c>
      <c r="E289" t="s">
        <v>106</v>
      </c>
      <c r="G289" t="s">
        <v>232</v>
      </c>
      <c r="H289" t="b">
        <v>1</v>
      </c>
      <c r="I289" t="s">
        <v>108</v>
      </c>
      <c r="J289" t="s">
        <v>194</v>
      </c>
      <c r="L289" t="s">
        <v>175</v>
      </c>
      <c r="M289" t="s">
        <v>176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2.9754024022148933</v>
      </c>
      <c r="Z289" t="b">
        <v>1</v>
      </c>
      <c r="AA289" t="b">
        <v>1</v>
      </c>
      <c r="AC289" t="s">
        <v>233</v>
      </c>
      <c r="AD289">
        <v>1</v>
      </c>
      <c r="AE289" t="s">
        <v>234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230</v>
      </c>
      <c r="J290" t="s">
        <v>194</v>
      </c>
      <c r="M290" t="s">
        <v>183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2.9754024022148933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230</v>
      </c>
      <c r="J291" t="s">
        <v>193</v>
      </c>
      <c r="M291" t="s">
        <v>176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4.2845794591894464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230</v>
      </c>
      <c r="J292" t="s">
        <v>193</v>
      </c>
      <c r="M292" t="s">
        <v>183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4.2845794591894464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230</v>
      </c>
      <c r="J293" t="s">
        <v>192</v>
      </c>
      <c r="M293" t="s">
        <v>176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5.8317887083411915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230</v>
      </c>
      <c r="J294" t="s">
        <v>192</v>
      </c>
      <c r="M294" t="s">
        <v>183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5.8317887083411915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230</v>
      </c>
      <c r="J295" t="s">
        <v>174</v>
      </c>
      <c r="M295" t="s">
        <v>176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6.694655404983509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230</v>
      </c>
      <c r="J296" t="s">
        <v>174</v>
      </c>
      <c r="M296" t="s">
        <v>183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6.694655404983509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230</v>
      </c>
      <c r="J297" t="s">
        <v>235</v>
      </c>
      <c r="M297" t="s">
        <v>176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9.6403037831762521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230</v>
      </c>
      <c r="J298" t="s">
        <v>235</v>
      </c>
      <c r="M298" t="s">
        <v>183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9.6403037831762521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230</v>
      </c>
      <c r="J299" t="s">
        <v>191</v>
      </c>
      <c r="M299" t="s">
        <v>176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11.901609608859573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230</v>
      </c>
      <c r="J300" t="s">
        <v>191</v>
      </c>
      <c r="M300" t="s">
        <v>183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11.901609608859573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230</v>
      </c>
      <c r="J301" t="s">
        <v>182</v>
      </c>
      <c r="M301" t="s">
        <v>176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18.596265013843084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230</v>
      </c>
      <c r="J302" t="s">
        <v>182</v>
      </c>
      <c r="M302" t="s">
        <v>183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18.596265013843084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230</v>
      </c>
      <c r="J303" t="s">
        <v>158</v>
      </c>
      <c r="M303" t="s">
        <v>176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26.778621619934036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230</v>
      </c>
      <c r="J304" t="s">
        <v>158</v>
      </c>
      <c r="M304" t="s">
        <v>183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26.778621619934036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230</v>
      </c>
      <c r="J305" t="s">
        <v>159</v>
      </c>
      <c r="M305" t="s">
        <v>176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36.448679427132447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230</v>
      </c>
      <c r="J306" t="s">
        <v>159</v>
      </c>
      <c r="M306" t="s">
        <v>183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36.448679427132447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230</v>
      </c>
      <c r="J307" t="s">
        <v>92</v>
      </c>
      <c r="M307" t="s">
        <v>176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47.606438435438292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230</v>
      </c>
      <c r="J308" t="s">
        <v>92</v>
      </c>
      <c r="M308" t="s">
        <v>183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47.606438435438292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230</v>
      </c>
      <c r="J309" t="s">
        <v>190</v>
      </c>
      <c r="M309" t="s">
        <v>176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60.251898644851586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230</v>
      </c>
      <c r="J310" t="s">
        <v>190</v>
      </c>
      <c r="M310" t="s">
        <v>183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60.251898644851586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230</v>
      </c>
      <c r="J311" t="s">
        <v>111</v>
      </c>
      <c r="M311" t="s">
        <v>176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74.385060055372335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230</v>
      </c>
      <c r="J312" t="s">
        <v>111</v>
      </c>
      <c r="M312" t="s">
        <v>183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74.385060055372335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230</v>
      </c>
      <c r="J313" t="s">
        <v>99</v>
      </c>
      <c r="M313" t="s">
        <v>176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107.11448647973614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230</v>
      </c>
      <c r="J314" t="s">
        <v>99</v>
      </c>
      <c r="M314" t="s">
        <v>183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107.11448647973614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230</v>
      </c>
      <c r="J315" t="s">
        <v>217</v>
      </c>
      <c r="M315" t="s">
        <v>176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145.79471770852979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230</v>
      </c>
      <c r="J316" t="s">
        <v>217</v>
      </c>
      <c r="M316" t="s">
        <v>183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145.79471770852979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230</v>
      </c>
      <c r="J317" t="s">
        <v>184</v>
      </c>
      <c r="M317" t="s">
        <v>176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190.42575374175317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230</v>
      </c>
      <c r="J318" t="s">
        <v>184</v>
      </c>
      <c r="M318" t="s">
        <v>183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190.42575374175317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230</v>
      </c>
      <c r="J319" t="s">
        <v>160</v>
      </c>
      <c r="M319" t="s">
        <v>176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241.00759457940634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230</v>
      </c>
      <c r="J320" t="s">
        <v>160</v>
      </c>
      <c r="M320" t="s">
        <v>183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241.00759457940634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230</v>
      </c>
      <c r="J321" t="s">
        <v>161</v>
      </c>
      <c r="M321" t="s">
        <v>176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297.54024022148934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230</v>
      </c>
      <c r="J322" t="s">
        <v>161</v>
      </c>
      <c r="M322" t="s">
        <v>183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297.54024022148934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230</v>
      </c>
      <c r="J323" t="s">
        <v>100</v>
      </c>
      <c r="M323" t="s">
        <v>176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464.90662534607708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230</v>
      </c>
      <c r="J324" t="s">
        <v>100</v>
      </c>
      <c r="M324" t="s">
        <v>183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464.90662534607708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230</v>
      </c>
      <c r="J325" t="s">
        <v>162</v>
      </c>
      <c r="M325" t="s">
        <v>176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761.70301496701268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230</v>
      </c>
      <c r="J326" t="s">
        <v>162</v>
      </c>
      <c r="M326" t="s">
        <v>183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761.70301496701268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236</v>
      </c>
      <c r="B327" t="s">
        <v>237</v>
      </c>
      <c r="C327" s="1" t="s">
        <v>238</v>
      </c>
      <c r="D327" t="s">
        <v>86</v>
      </c>
      <c r="E327" t="s">
        <v>106</v>
      </c>
      <c r="G327" t="s">
        <v>239</v>
      </c>
      <c r="H327" t="b">
        <v>1</v>
      </c>
      <c r="I327" t="s">
        <v>108</v>
      </c>
      <c r="J327" t="s">
        <v>194</v>
      </c>
      <c r="L327" t="s">
        <v>175</v>
      </c>
      <c r="M327" t="s">
        <v>176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2.9754024022148933</v>
      </c>
      <c r="Z327" t="b">
        <v>1</v>
      </c>
      <c r="AA327" t="b">
        <v>1</v>
      </c>
      <c r="AC327" t="s">
        <v>240</v>
      </c>
      <c r="AD327">
        <v>1</v>
      </c>
      <c r="AE327" t="s">
        <v>241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236</v>
      </c>
      <c r="J328" t="s">
        <v>194</v>
      </c>
      <c r="M328" t="s">
        <v>183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2.9754024022148933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236</v>
      </c>
      <c r="J329" t="s">
        <v>193</v>
      </c>
      <c r="M329" t="s">
        <v>176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4.2845794591894464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236</v>
      </c>
      <c r="J330" t="s">
        <v>193</v>
      </c>
      <c r="M330" t="s">
        <v>183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4.2845794591894464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236</v>
      </c>
      <c r="J331" t="s">
        <v>192</v>
      </c>
      <c r="M331" t="s">
        <v>176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5.8317887083411915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236</v>
      </c>
      <c r="J332" t="s">
        <v>192</v>
      </c>
      <c r="M332" t="s">
        <v>183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5.8317887083411915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236</v>
      </c>
      <c r="J333" t="s">
        <v>174</v>
      </c>
      <c r="M333" t="s">
        <v>176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6.694655404983509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236</v>
      </c>
      <c r="J334" t="s">
        <v>174</v>
      </c>
      <c r="M334" t="s">
        <v>183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6.694655404983509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236</v>
      </c>
      <c r="J335" t="s">
        <v>235</v>
      </c>
      <c r="M335" t="s">
        <v>176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9.6403037831762521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236</v>
      </c>
      <c r="J336" t="s">
        <v>235</v>
      </c>
      <c r="M336" t="s">
        <v>183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9.6403037831762521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236</v>
      </c>
      <c r="J337" t="s">
        <v>191</v>
      </c>
      <c r="M337" t="s">
        <v>176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11.901609608859573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236</v>
      </c>
      <c r="J338" t="s">
        <v>191</v>
      </c>
      <c r="M338" t="s">
        <v>183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11.901609608859573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236</v>
      </c>
      <c r="J339" t="s">
        <v>182</v>
      </c>
      <c r="M339" t="s">
        <v>176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18.596265013843084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236</v>
      </c>
      <c r="J340" t="s">
        <v>182</v>
      </c>
      <c r="M340" t="s">
        <v>183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18.596265013843084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236</v>
      </c>
      <c r="J341" t="s">
        <v>158</v>
      </c>
      <c r="M341" t="s">
        <v>176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26.778621619934036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236</v>
      </c>
      <c r="J342" t="s">
        <v>158</v>
      </c>
      <c r="M342" t="s">
        <v>183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26.778621619934036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236</v>
      </c>
      <c r="J343" t="s">
        <v>159</v>
      </c>
      <c r="M343" t="s">
        <v>176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36.448679427132447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236</v>
      </c>
      <c r="J344" t="s">
        <v>159</v>
      </c>
      <c r="M344" t="s">
        <v>183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36.448679427132447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236</v>
      </c>
      <c r="J345" t="s">
        <v>92</v>
      </c>
      <c r="M345" t="s">
        <v>176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47.606438435438292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236</v>
      </c>
      <c r="J346" t="s">
        <v>92</v>
      </c>
      <c r="M346" t="s">
        <v>183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47.606438435438292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236</v>
      </c>
      <c r="J347" t="s">
        <v>190</v>
      </c>
      <c r="M347" t="s">
        <v>176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60.251898644851586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236</v>
      </c>
      <c r="J348" t="s">
        <v>190</v>
      </c>
      <c r="M348" t="s">
        <v>183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60.251898644851586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236</v>
      </c>
      <c r="J349" t="s">
        <v>111</v>
      </c>
      <c r="M349" t="s">
        <v>176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74.385060055372335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236</v>
      </c>
      <c r="J350" t="s">
        <v>111</v>
      </c>
      <c r="M350" t="s">
        <v>183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74.385060055372335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236</v>
      </c>
      <c r="J351" t="s">
        <v>99</v>
      </c>
      <c r="M351" t="s">
        <v>176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107.11448647973614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236</v>
      </c>
      <c r="J352" t="s">
        <v>99</v>
      </c>
      <c r="M352" t="s">
        <v>183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107.11448647973614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236</v>
      </c>
      <c r="J353" t="s">
        <v>217</v>
      </c>
      <c r="M353" t="s">
        <v>176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145.79471770852979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236</v>
      </c>
      <c r="J354" t="s">
        <v>217</v>
      </c>
      <c r="M354" t="s">
        <v>183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145.79471770852979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236</v>
      </c>
      <c r="J355" t="s">
        <v>184</v>
      </c>
      <c r="M355" t="s">
        <v>176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190.42575374175317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236</v>
      </c>
      <c r="J356" t="s">
        <v>184</v>
      </c>
      <c r="M356" t="s">
        <v>183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190.42575374175317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236</v>
      </c>
      <c r="J357" t="s">
        <v>160</v>
      </c>
      <c r="M357" t="s">
        <v>176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241.00759457940634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236</v>
      </c>
      <c r="J358" t="s">
        <v>160</v>
      </c>
      <c r="M358" t="s">
        <v>183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241.00759457940634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236</v>
      </c>
      <c r="J359" t="s">
        <v>161</v>
      </c>
      <c r="M359" t="s">
        <v>176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297.54024022148934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236</v>
      </c>
      <c r="J360" t="s">
        <v>161</v>
      </c>
      <c r="M360" t="s">
        <v>183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297.54024022148934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236</v>
      </c>
      <c r="J361" t="s">
        <v>100</v>
      </c>
      <c r="M361" t="s">
        <v>176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464.90662534607708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236</v>
      </c>
      <c r="J362" t="s">
        <v>100</v>
      </c>
      <c r="M362" t="s">
        <v>183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464.90662534607708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236</v>
      </c>
      <c r="J363" t="s">
        <v>162</v>
      </c>
      <c r="M363" t="s">
        <v>176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761.70301496701268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236</v>
      </c>
      <c r="J364" t="s">
        <v>162</v>
      </c>
      <c r="M364" t="s">
        <v>183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761.70301496701268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242</v>
      </c>
      <c r="B365" t="s">
        <v>243</v>
      </c>
      <c r="C365" s="1" t="s">
        <v>238</v>
      </c>
      <c r="D365" t="s">
        <v>86</v>
      </c>
      <c r="E365" t="s">
        <v>106</v>
      </c>
      <c r="G365" t="s">
        <v>244</v>
      </c>
      <c r="H365" t="b">
        <v>1</v>
      </c>
      <c r="I365" t="s">
        <v>108</v>
      </c>
      <c r="J365" t="s">
        <v>194</v>
      </c>
      <c r="L365" t="s">
        <v>175</v>
      </c>
      <c r="M365" t="s">
        <v>176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2.9754024022148933</v>
      </c>
      <c r="Z365" t="b">
        <v>1</v>
      </c>
      <c r="AA365" t="b">
        <v>1</v>
      </c>
      <c r="AC365" t="s">
        <v>245</v>
      </c>
      <c r="AD365">
        <v>1</v>
      </c>
      <c r="AE365" t="s">
        <v>246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242</v>
      </c>
      <c r="J366" t="s">
        <v>174</v>
      </c>
      <c r="M366" t="s">
        <v>176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6.694655404983509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242</v>
      </c>
      <c r="J367" t="s">
        <v>191</v>
      </c>
      <c r="M367" t="s">
        <v>176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11.901609608859573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242</v>
      </c>
      <c r="J368" t="s">
        <v>182</v>
      </c>
      <c r="M368" t="s">
        <v>176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18.596265013843084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242</v>
      </c>
      <c r="J369" t="s">
        <v>182</v>
      </c>
      <c r="M369" t="s">
        <v>183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18.596265013843084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242</v>
      </c>
      <c r="J370" t="s">
        <v>158</v>
      </c>
      <c r="M370" t="s">
        <v>176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26.778621619934036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242</v>
      </c>
      <c r="J371" t="s">
        <v>159</v>
      </c>
      <c r="M371" t="s">
        <v>176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36.448679427132447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242</v>
      </c>
      <c r="J372" t="s">
        <v>92</v>
      </c>
      <c r="M372" t="s">
        <v>176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47.606438435438292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242</v>
      </c>
      <c r="J373" t="s">
        <v>111</v>
      </c>
      <c r="M373" t="s">
        <v>183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74.385060055372335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242</v>
      </c>
      <c r="J374" t="s">
        <v>99</v>
      </c>
      <c r="M374" t="s">
        <v>176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107.11448647973614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242</v>
      </c>
      <c r="J375" t="s">
        <v>184</v>
      </c>
      <c r="M375" t="s">
        <v>176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190.42575374175317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247</v>
      </c>
      <c r="B376" t="s">
        <v>248</v>
      </c>
      <c r="C376" s="1" t="s">
        <v>249</v>
      </c>
      <c r="D376" t="s">
        <v>86</v>
      </c>
      <c r="E376" t="s">
        <v>106</v>
      </c>
      <c r="G376" t="s">
        <v>250</v>
      </c>
      <c r="H376" t="b">
        <v>1</v>
      </c>
      <c r="I376" t="s">
        <v>108</v>
      </c>
      <c r="J376" t="s">
        <v>194</v>
      </c>
      <c r="L376" t="s">
        <v>175</v>
      </c>
      <c r="M376" t="s">
        <v>176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2.0029538122227084</v>
      </c>
      <c r="Z376" t="b">
        <v>1</v>
      </c>
      <c r="AA376" t="b">
        <v>1</v>
      </c>
      <c r="AC376" t="s">
        <v>251</v>
      </c>
      <c r="AD376">
        <v>1</v>
      </c>
      <c r="AE376" t="s">
        <v>252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247</v>
      </c>
      <c r="J377" t="s">
        <v>193</v>
      </c>
      <c r="M377" t="s">
        <v>176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2.8842534896007002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247</v>
      </c>
      <c r="J378" t="s">
        <v>174</v>
      </c>
      <c r="M378" t="s">
        <v>176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4.5066460775010944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247</v>
      </c>
      <c r="J379" t="s">
        <v>174</v>
      </c>
      <c r="M379" t="s">
        <v>183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4.5066460775010944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247</v>
      </c>
      <c r="J380" t="s">
        <v>174</v>
      </c>
      <c r="M380" t="s">
        <v>253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4.5066460775010944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247</v>
      </c>
      <c r="J381" t="s">
        <v>235</v>
      </c>
      <c r="M381" t="s">
        <v>176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6.4895703516015759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247</v>
      </c>
      <c r="J382" t="s">
        <v>235</v>
      </c>
      <c r="M382" t="s">
        <v>183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6.4895703516015759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247</v>
      </c>
      <c r="J383" t="s">
        <v>191</v>
      </c>
      <c r="M383" t="s">
        <v>176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8.0118152488908336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247</v>
      </c>
      <c r="J384" t="s">
        <v>191</v>
      </c>
      <c r="M384" t="s">
        <v>183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8.0118152488908336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247</v>
      </c>
      <c r="J385" t="s">
        <v>191</v>
      </c>
      <c r="M385" t="s">
        <v>253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8.0118152488908336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247</v>
      </c>
      <c r="J386" t="s">
        <v>182</v>
      </c>
      <c r="M386" t="s">
        <v>176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12.518461326391931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247</v>
      </c>
      <c r="J387" t="s">
        <v>182</v>
      </c>
      <c r="M387" t="s">
        <v>183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12.518461326391931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247</v>
      </c>
      <c r="J388" t="s">
        <v>182</v>
      </c>
      <c r="M388" t="s">
        <v>253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12.518461326391931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247</v>
      </c>
      <c r="J389" t="s">
        <v>158</v>
      </c>
      <c r="M389" t="s">
        <v>176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18.026584310004377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247</v>
      </c>
      <c r="J390" t="s">
        <v>158</v>
      </c>
      <c r="M390" t="s">
        <v>183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18.026584310004377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247</v>
      </c>
      <c r="J391" t="s">
        <v>158</v>
      </c>
      <c r="M391" t="s">
        <v>253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18.026584310004377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247</v>
      </c>
      <c r="J392" t="s">
        <v>159</v>
      </c>
      <c r="M392" t="s">
        <v>176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24.536184199728183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247</v>
      </c>
      <c r="J393" t="s">
        <v>159</v>
      </c>
      <c r="M393" t="s">
        <v>183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24.536184199728183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247</v>
      </c>
      <c r="J394" t="s">
        <v>159</v>
      </c>
      <c r="M394" t="s">
        <v>253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24.536184199728183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247</v>
      </c>
      <c r="J395" t="s">
        <v>92</v>
      </c>
      <c r="M395" t="s">
        <v>176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32.047260995563335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247</v>
      </c>
      <c r="J396" t="s">
        <v>92</v>
      </c>
      <c r="M396" t="s">
        <v>253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32.047260995563335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247</v>
      </c>
      <c r="J397" t="s">
        <v>190</v>
      </c>
      <c r="M397" t="s">
        <v>176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40.55981469750985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247</v>
      </c>
      <c r="J398" t="s">
        <v>190</v>
      </c>
      <c r="M398" t="s">
        <v>253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40.55981469750985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247</v>
      </c>
      <c r="J399" t="s">
        <v>111</v>
      </c>
      <c r="M399" t="s">
        <v>176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50.073845305567723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247</v>
      </c>
      <c r="J400" t="s">
        <v>111</v>
      </c>
      <c r="M400" t="s">
        <v>253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50.073845305567723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247</v>
      </c>
      <c r="J401" t="s">
        <v>99</v>
      </c>
      <c r="M401" t="s">
        <v>176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72.10633724001751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247</v>
      </c>
      <c r="J402" t="s">
        <v>99</v>
      </c>
      <c r="M402" t="s">
        <v>253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72.10633724001751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247</v>
      </c>
      <c r="J403" t="s">
        <v>184</v>
      </c>
      <c r="M403" t="s">
        <v>176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128.18904398225334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247</v>
      </c>
      <c r="J404" t="s">
        <v>184</v>
      </c>
      <c r="M404" t="s">
        <v>183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128.18904398225334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247</v>
      </c>
      <c r="J405" t="s">
        <v>184</v>
      </c>
      <c r="M405" t="s">
        <v>253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128.18904398225334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247</v>
      </c>
      <c r="J406" t="s">
        <v>161</v>
      </c>
      <c r="M406" t="s">
        <v>176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200.29538122227089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247</v>
      </c>
      <c r="J407" t="s">
        <v>100</v>
      </c>
      <c r="M407" t="s">
        <v>176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312.96153315979819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247</v>
      </c>
      <c r="J408" t="s">
        <v>162</v>
      </c>
      <c r="M408" t="s">
        <v>176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512.75617592901335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254</v>
      </c>
      <c r="B409" t="s">
        <v>255</v>
      </c>
      <c r="C409" s="1" t="s">
        <v>256</v>
      </c>
      <c r="D409" t="s">
        <v>86</v>
      </c>
      <c r="E409" t="s">
        <v>106</v>
      </c>
      <c r="G409" t="s">
        <v>257</v>
      </c>
      <c r="H409" t="b">
        <v>1</v>
      </c>
      <c r="I409" t="s">
        <v>108</v>
      </c>
      <c r="J409" t="s">
        <v>194</v>
      </c>
      <c r="L409" t="s">
        <v>175</v>
      </c>
      <c r="M409" t="s">
        <v>176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2.0029538122227084</v>
      </c>
      <c r="Z409" t="b">
        <v>1</v>
      </c>
      <c r="AA409" t="b">
        <v>1</v>
      </c>
      <c r="AC409" t="s">
        <v>258</v>
      </c>
      <c r="AD409">
        <v>1</v>
      </c>
      <c r="AE409" t="s">
        <v>259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254</v>
      </c>
      <c r="J410" t="s">
        <v>193</v>
      </c>
      <c r="M410" t="s">
        <v>176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2.8842534896007002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254</v>
      </c>
      <c r="J411" t="s">
        <v>174</v>
      </c>
      <c r="M411" t="s">
        <v>176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4.5066460775010944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254</v>
      </c>
      <c r="J412" t="s">
        <v>174</v>
      </c>
      <c r="M412" t="s">
        <v>183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4.5066460775010944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254</v>
      </c>
      <c r="J413" t="s">
        <v>191</v>
      </c>
      <c r="M413" t="s">
        <v>176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8.0118152488908336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254</v>
      </c>
      <c r="J414" t="s">
        <v>191</v>
      </c>
      <c r="M414" t="s">
        <v>253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8.0118152488908336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254</v>
      </c>
      <c r="J415" t="s">
        <v>191</v>
      </c>
      <c r="M415" t="s">
        <v>183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8.0118152488908336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254</v>
      </c>
      <c r="J416" t="s">
        <v>182</v>
      </c>
      <c r="M416" t="s">
        <v>176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12.518461326391931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254</v>
      </c>
      <c r="J417" t="s">
        <v>182</v>
      </c>
      <c r="M417" t="s">
        <v>253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12.518461326391931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254</v>
      </c>
      <c r="J418" t="s">
        <v>182</v>
      </c>
      <c r="M418" t="s">
        <v>183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12.518461326391931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254</v>
      </c>
      <c r="J419" t="s">
        <v>158</v>
      </c>
      <c r="M419" t="s">
        <v>176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18.026584310004377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254</v>
      </c>
      <c r="J420" t="s">
        <v>158</v>
      </c>
      <c r="M420" t="s">
        <v>253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18.026584310004377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254</v>
      </c>
      <c r="J421" t="s">
        <v>158</v>
      </c>
      <c r="M421" t="s">
        <v>183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18.026584310004377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254</v>
      </c>
      <c r="J422" t="s">
        <v>159</v>
      </c>
      <c r="M422" t="s">
        <v>176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24.536184199728183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254</v>
      </c>
      <c r="J423" t="s">
        <v>159</v>
      </c>
      <c r="M423" t="s">
        <v>253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24.536184199728183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254</v>
      </c>
      <c r="J424" t="s">
        <v>92</v>
      </c>
      <c r="M424" t="s">
        <v>176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32.047260995563335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254</v>
      </c>
      <c r="J425" t="s">
        <v>92</v>
      </c>
      <c r="M425" t="s">
        <v>253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32.047260995563335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254</v>
      </c>
      <c r="J426" t="s">
        <v>190</v>
      </c>
      <c r="M426" t="s">
        <v>176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40.55981469750985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254</v>
      </c>
      <c r="J427" t="s">
        <v>190</v>
      </c>
      <c r="M427" t="s">
        <v>253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40.55981469750985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254</v>
      </c>
      <c r="J428" t="s">
        <v>111</v>
      </c>
      <c r="M428" t="s">
        <v>176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50.073845305567723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254</v>
      </c>
      <c r="J429" t="s">
        <v>111</v>
      </c>
      <c r="M429" t="s">
        <v>253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50.073845305567723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254</v>
      </c>
      <c r="J430" t="s">
        <v>99</v>
      </c>
      <c r="M430" t="s">
        <v>176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72.10633724001751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254</v>
      </c>
      <c r="J431" t="s">
        <v>99</v>
      </c>
      <c r="M431" t="s">
        <v>253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72.10633724001751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254</v>
      </c>
      <c r="J432" t="s">
        <v>184</v>
      </c>
      <c r="M432" t="s">
        <v>176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128.18904398225334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254</v>
      </c>
      <c r="J433" t="s">
        <v>161</v>
      </c>
      <c r="M433" t="s">
        <v>176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200.29538122227089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254</v>
      </c>
      <c r="J434" t="s">
        <v>100</v>
      </c>
      <c r="M434" t="s">
        <v>176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312.96153315979819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254</v>
      </c>
      <c r="J435" t="s">
        <v>162</v>
      </c>
      <c r="M435" t="s">
        <v>176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512.75617592901335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260</v>
      </c>
      <c r="B436" t="s">
        <v>261</v>
      </c>
      <c r="C436" s="1" t="s">
        <v>262</v>
      </c>
      <c r="D436" t="s">
        <v>86</v>
      </c>
      <c r="E436" t="s">
        <v>106</v>
      </c>
      <c r="G436" t="s">
        <v>263</v>
      </c>
      <c r="H436" t="b">
        <v>1</v>
      </c>
      <c r="I436" t="s">
        <v>108</v>
      </c>
      <c r="J436" t="s">
        <v>194</v>
      </c>
      <c r="L436" t="s">
        <v>175</v>
      </c>
      <c r="M436" t="s">
        <v>176</v>
      </c>
      <c r="S436">
        <v>0</v>
      </c>
      <c r="U436">
        <v>0</v>
      </c>
      <c r="V436" t="s">
        <v>264</v>
      </c>
      <c r="W436" t="s">
        <v>94</v>
      </c>
      <c r="X436" s="95">
        <f>((VLOOKUP(J436,References!$A$1:$B$23,2,0)/2)^2)*PI()*122*Prices!$D$57</f>
        <v>1.3833806900541805</v>
      </c>
      <c r="Z436" t="b">
        <v>1</v>
      </c>
      <c r="AA436" t="b">
        <v>1</v>
      </c>
      <c r="AC436" t="s">
        <v>265</v>
      </c>
      <c r="AD436">
        <v>1</v>
      </c>
      <c r="AE436" t="s">
        <v>266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260</v>
      </c>
      <c r="J437" t="s">
        <v>174</v>
      </c>
      <c r="M437" t="s">
        <v>176</v>
      </c>
      <c r="S437">
        <v>0</v>
      </c>
      <c r="U437">
        <v>0</v>
      </c>
      <c r="V437" t="s">
        <v>264</v>
      </c>
      <c r="W437" t="s">
        <v>94</v>
      </c>
      <c r="X437" s="95">
        <f>((VLOOKUP(J437,References!$A$1:$B$23,2,0)/2)^2)*PI()*122*Prices!$D$57</f>
        <v>3.1126065526219056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260</v>
      </c>
      <c r="J438" t="s">
        <v>191</v>
      </c>
      <c r="M438" t="s">
        <v>176</v>
      </c>
      <c r="S438">
        <v>0</v>
      </c>
      <c r="U438">
        <v>-36</v>
      </c>
      <c r="V438" t="s">
        <v>264</v>
      </c>
      <c r="W438" t="s">
        <v>94</v>
      </c>
      <c r="X438" s="95">
        <f>((VLOOKUP(J438,References!$A$1:$B$23,2,0)/2)^2)*PI()*122*Prices!$D$57</f>
        <v>5.5335227602167221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260</v>
      </c>
      <c r="J439" t="s">
        <v>182</v>
      </c>
      <c r="M439" t="s">
        <v>176</v>
      </c>
      <c r="S439">
        <v>0</v>
      </c>
      <c r="U439">
        <v>-36</v>
      </c>
      <c r="V439" t="s">
        <v>264</v>
      </c>
      <c r="W439" t="s">
        <v>94</v>
      </c>
      <c r="X439" s="95">
        <f>((VLOOKUP(J439,References!$A$1:$B$23,2,0)/2)^2)*PI()*122*Prices!$D$57</f>
        <v>8.6461293128386298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260</v>
      </c>
      <c r="J440" t="s">
        <v>182</v>
      </c>
      <c r="M440" t="s">
        <v>183</v>
      </c>
      <c r="S440">
        <v>0</v>
      </c>
      <c r="U440">
        <v>0</v>
      </c>
      <c r="V440" t="s">
        <v>264</v>
      </c>
      <c r="W440" t="s">
        <v>94</v>
      </c>
      <c r="X440" s="95">
        <f>((VLOOKUP(J440,References!$A$1:$B$23,2,0)/2)^2)*PI()*122*Prices!$D$57</f>
        <v>8.6461293128386298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260</v>
      </c>
      <c r="J441" t="s">
        <v>158</v>
      </c>
      <c r="M441" t="s">
        <v>176</v>
      </c>
      <c r="S441">
        <v>0</v>
      </c>
      <c r="U441">
        <v>-6</v>
      </c>
      <c r="V441" t="s">
        <v>264</v>
      </c>
      <c r="W441" t="s">
        <v>94</v>
      </c>
      <c r="X441" s="95">
        <f>((VLOOKUP(J441,References!$A$1:$B$23,2,0)/2)^2)*PI()*122*Prices!$D$57</f>
        <v>12.450426210487622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260</v>
      </c>
      <c r="J442" t="s">
        <v>159</v>
      </c>
      <c r="M442" t="s">
        <v>183</v>
      </c>
      <c r="S442">
        <v>0</v>
      </c>
      <c r="U442">
        <v>0</v>
      </c>
      <c r="V442" t="s">
        <v>264</v>
      </c>
      <c r="W442" t="s">
        <v>94</v>
      </c>
      <c r="X442" s="95">
        <f>((VLOOKUP(J442,References!$A$1:$B$23,2,0)/2)^2)*PI()*122*Prices!$D$57</f>
        <v>16.946413453163714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267</v>
      </c>
      <c r="B443" t="s">
        <v>268</v>
      </c>
      <c r="C443" s="1" t="s">
        <v>187</v>
      </c>
      <c r="D443" t="s">
        <v>86</v>
      </c>
      <c r="E443" t="s">
        <v>106</v>
      </c>
      <c r="G443" t="s">
        <v>269</v>
      </c>
      <c r="H443" t="b">
        <v>1</v>
      </c>
      <c r="I443" t="s">
        <v>108</v>
      </c>
      <c r="J443" t="s">
        <v>193</v>
      </c>
      <c r="L443" t="s">
        <v>175</v>
      </c>
      <c r="M443" t="s">
        <v>176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2.9796007123974175</v>
      </c>
      <c r="Z443" t="b">
        <v>1</v>
      </c>
      <c r="AA443" t="b">
        <v>1</v>
      </c>
      <c r="AC443" t="s">
        <v>270</v>
      </c>
      <c r="AD443">
        <v>1</v>
      </c>
      <c r="AE443" t="s">
        <v>271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267</v>
      </c>
      <c r="J444" t="s">
        <v>174</v>
      </c>
      <c r="M444" t="s">
        <v>176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4.6556261131209649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267</v>
      </c>
      <c r="J445" t="s">
        <v>191</v>
      </c>
      <c r="M445" t="s">
        <v>176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8.2766686455483818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267</v>
      </c>
      <c r="J446" t="s">
        <v>182</v>
      </c>
      <c r="M446" t="s">
        <v>176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12.932294758669348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267</v>
      </c>
      <c r="J447" t="s">
        <v>158</v>
      </c>
      <c r="M447" t="s">
        <v>176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18.622504452483859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267</v>
      </c>
      <c r="J448" t="s">
        <v>158</v>
      </c>
      <c r="M448" t="s">
        <v>253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18.622504452483859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267</v>
      </c>
      <c r="J449" t="s">
        <v>92</v>
      </c>
      <c r="M449" t="s">
        <v>176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33.106674582193527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267</v>
      </c>
      <c r="J450" t="s">
        <v>92</v>
      </c>
      <c r="M450" t="s">
        <v>253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33.106674582193527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267</v>
      </c>
      <c r="J451" t="s">
        <v>111</v>
      </c>
      <c r="M451" t="s">
        <v>176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51.729179034677394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267</v>
      </c>
      <c r="J452" t="s">
        <v>99</v>
      </c>
      <c r="M452" t="s">
        <v>176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74.490017809935438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267</v>
      </c>
      <c r="J453" t="s">
        <v>184</v>
      </c>
      <c r="M453" t="s">
        <v>176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132.42669832877411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267</v>
      </c>
      <c r="J454" t="s">
        <v>161</v>
      </c>
      <c r="M454" t="s">
        <v>176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206.91671613870957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272</v>
      </c>
      <c r="B455" t="s">
        <v>273</v>
      </c>
      <c r="C455" s="1" t="s">
        <v>256</v>
      </c>
      <c r="D455" t="s">
        <v>86</v>
      </c>
      <c r="E455" t="s">
        <v>106</v>
      </c>
      <c r="G455" t="s">
        <v>274</v>
      </c>
      <c r="H455" t="b">
        <v>1</v>
      </c>
      <c r="I455" t="s">
        <v>108</v>
      </c>
      <c r="J455" t="s">
        <v>194</v>
      </c>
      <c r="L455" t="s">
        <v>175</v>
      </c>
      <c r="M455" t="s">
        <v>176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2.0691671613870954</v>
      </c>
      <c r="Z455" t="b">
        <v>1</v>
      </c>
      <c r="AA455" t="b">
        <v>1</v>
      </c>
      <c r="AC455" t="s">
        <v>275</v>
      </c>
      <c r="AD455">
        <v>1</v>
      </c>
      <c r="AE455" t="s">
        <v>276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272</v>
      </c>
      <c r="J456" t="s">
        <v>193</v>
      </c>
      <c r="M456" t="s">
        <v>176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2.9796007123974175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272</v>
      </c>
      <c r="J457" t="s">
        <v>174</v>
      </c>
      <c r="M457" t="s">
        <v>176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4.6556261131209649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272</v>
      </c>
      <c r="J458" t="s">
        <v>191</v>
      </c>
      <c r="M458" t="s">
        <v>176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8.2766686455483818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272</v>
      </c>
      <c r="J459" t="s">
        <v>182</v>
      </c>
      <c r="M459" t="s">
        <v>176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12.932294758669348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272</v>
      </c>
      <c r="J460" t="s">
        <v>158</v>
      </c>
      <c r="M460" t="s">
        <v>176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18.622504452483859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272</v>
      </c>
      <c r="J461" t="s">
        <v>158</v>
      </c>
      <c r="M461" t="s">
        <v>253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18.622504452483859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272</v>
      </c>
      <c r="J462" t="s">
        <v>92</v>
      </c>
      <c r="M462" t="s">
        <v>176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33.106674582193527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272</v>
      </c>
      <c r="J463" t="s">
        <v>92</v>
      </c>
      <c r="M463" t="s">
        <v>253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33.106674582193527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272</v>
      </c>
      <c r="J464" t="s">
        <v>190</v>
      </c>
      <c r="M464" t="s">
        <v>176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41.900635018088678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272</v>
      </c>
      <c r="J465" t="s">
        <v>111</v>
      </c>
      <c r="M465" t="s">
        <v>176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51.729179034677394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272</v>
      </c>
      <c r="J466" t="s">
        <v>111</v>
      </c>
      <c r="M466" t="s">
        <v>253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51.729179034677394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272</v>
      </c>
      <c r="J467" t="s">
        <v>99</v>
      </c>
      <c r="M467" t="s">
        <v>176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74.490017809935438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272</v>
      </c>
      <c r="J468" t="s">
        <v>184</v>
      </c>
      <c r="M468" t="s">
        <v>176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132.42669832877411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272</v>
      </c>
      <c r="J469" t="s">
        <v>161</v>
      </c>
      <c r="M469" t="s">
        <v>176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206.91671613870957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272</v>
      </c>
      <c r="J470" t="s">
        <v>100</v>
      </c>
      <c r="M470" t="s">
        <v>176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323.30736896673369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272</v>
      </c>
      <c r="J471" t="s">
        <v>162</v>
      </c>
      <c r="M471" t="s">
        <v>176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529.70679331509643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277</v>
      </c>
      <c r="B472" t="s">
        <v>278</v>
      </c>
      <c r="C472" s="1" t="s">
        <v>279</v>
      </c>
      <c r="D472" t="s">
        <v>86</v>
      </c>
      <c r="E472" t="s">
        <v>106</v>
      </c>
      <c r="G472" t="s">
        <v>280</v>
      </c>
      <c r="H472" t="b">
        <v>1</v>
      </c>
      <c r="I472" t="s">
        <v>5</v>
      </c>
      <c r="J472" t="s">
        <v>281</v>
      </c>
      <c r="R472" t="s">
        <v>282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31.809374999999999</v>
      </c>
      <c r="Z472" t="b">
        <v>1</v>
      </c>
      <c r="AA472" t="b">
        <v>1</v>
      </c>
      <c r="AC472" t="s">
        <v>283</v>
      </c>
      <c r="AD472">
        <v>1</v>
      </c>
      <c r="AE472" t="s">
        <v>284</v>
      </c>
      <c r="AF472" t="b">
        <v>0</v>
      </c>
      <c r="CB472" t="s">
        <v>147</v>
      </c>
      <c r="CE472" t="s">
        <v>96</v>
      </c>
    </row>
    <row r="473" spans="1:83" ht="15" customHeight="1">
      <c r="A473" t="s">
        <v>277</v>
      </c>
      <c r="J473" t="s">
        <v>285</v>
      </c>
      <c r="R473" t="s">
        <v>286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31.809374999999999</v>
      </c>
      <c r="Z473" t="b">
        <v>1</v>
      </c>
      <c r="AA473" t="b">
        <v>1</v>
      </c>
      <c r="CB473" t="s">
        <v>147</v>
      </c>
    </row>
    <row r="474" spans="1:83" ht="15" customHeight="1">
      <c r="A474" t="s">
        <v>277</v>
      </c>
      <c r="J474" t="s">
        <v>183</v>
      </c>
      <c r="R474" t="s">
        <v>287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31.809374999999999</v>
      </c>
      <c r="Z474" t="b">
        <v>1</v>
      </c>
      <c r="AA474" t="b">
        <v>1</v>
      </c>
      <c r="CB474" t="s">
        <v>147</v>
      </c>
    </row>
    <row r="475" spans="1:83" ht="15" customHeight="1">
      <c r="A475" t="s">
        <v>277</v>
      </c>
      <c r="J475" t="s">
        <v>288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31.809374999999999</v>
      </c>
      <c r="Z475" t="b">
        <v>1</v>
      </c>
      <c r="AA475" t="b">
        <v>1</v>
      </c>
      <c r="CB475" t="s">
        <v>147</v>
      </c>
    </row>
    <row r="476" spans="1:83" ht="15" customHeight="1">
      <c r="A476" t="s">
        <v>289</v>
      </c>
      <c r="B476" t="s">
        <v>290</v>
      </c>
      <c r="C476" s="1" t="s">
        <v>291</v>
      </c>
      <c r="D476" t="s">
        <v>86</v>
      </c>
      <c r="E476" t="s">
        <v>106</v>
      </c>
      <c r="G476" t="s">
        <v>292</v>
      </c>
      <c r="H476" t="b">
        <v>1</v>
      </c>
      <c r="I476" t="s">
        <v>293</v>
      </c>
      <c r="J476" t="s">
        <v>281</v>
      </c>
      <c r="R476" t="s">
        <v>294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105.3</v>
      </c>
      <c r="Z476" t="b">
        <v>1</v>
      </c>
      <c r="AA476" t="b">
        <v>1</v>
      </c>
      <c r="AB476" t="s">
        <v>295</v>
      </c>
      <c r="AC476" t="s">
        <v>296</v>
      </c>
      <c r="AD476">
        <v>1</v>
      </c>
      <c r="AE476" t="s">
        <v>297</v>
      </c>
      <c r="AF476" t="b">
        <v>0</v>
      </c>
      <c r="CA476" t="s">
        <v>296</v>
      </c>
      <c r="CB476" t="s">
        <v>147</v>
      </c>
      <c r="CE476" t="s">
        <v>96</v>
      </c>
    </row>
    <row r="477" spans="1:83" ht="15" customHeight="1">
      <c r="A477" t="s">
        <v>289</v>
      </c>
      <c r="J477" t="s">
        <v>285</v>
      </c>
      <c r="R477" t="s">
        <v>298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105.3</v>
      </c>
      <c r="Z477" t="b">
        <v>1</v>
      </c>
      <c r="AA477" t="b">
        <v>1</v>
      </c>
      <c r="AC477" t="s">
        <v>299</v>
      </c>
      <c r="AD477">
        <v>2</v>
      </c>
      <c r="AE477" t="s">
        <v>300</v>
      </c>
      <c r="CA477" t="s">
        <v>299</v>
      </c>
      <c r="CB477" t="s">
        <v>147</v>
      </c>
    </row>
    <row r="478" spans="1:83" ht="15" customHeight="1">
      <c r="A478" t="s">
        <v>289</v>
      </c>
      <c r="J478" t="s">
        <v>183</v>
      </c>
      <c r="R478" t="s">
        <v>301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105.3</v>
      </c>
      <c r="Z478" t="b">
        <v>1</v>
      </c>
      <c r="AA478" t="b">
        <v>1</v>
      </c>
      <c r="AC478" t="s">
        <v>302</v>
      </c>
      <c r="AD478">
        <v>3</v>
      </c>
      <c r="AE478" t="s">
        <v>303</v>
      </c>
      <c r="CA478" t="s">
        <v>302</v>
      </c>
      <c r="CB478" t="s">
        <v>147</v>
      </c>
    </row>
    <row r="479" spans="1:83" ht="15" customHeight="1">
      <c r="A479" t="s">
        <v>289</v>
      </c>
      <c r="J479" t="s">
        <v>288</v>
      </c>
      <c r="R479" t="s">
        <v>304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105.3</v>
      </c>
      <c r="Z479" t="b">
        <v>1</v>
      </c>
      <c r="AA479" t="b">
        <v>1</v>
      </c>
      <c r="AC479" t="s">
        <v>305</v>
      </c>
      <c r="AD479">
        <v>4</v>
      </c>
      <c r="AE479" t="s">
        <v>303</v>
      </c>
      <c r="CA479" t="s">
        <v>305</v>
      </c>
      <c r="CB479" t="s">
        <v>147</v>
      </c>
    </row>
    <row r="480" spans="1:83" ht="15" customHeight="1">
      <c r="A480" t="s">
        <v>306</v>
      </c>
      <c r="B480" t="s">
        <v>307</v>
      </c>
      <c r="C480" s="1" t="s">
        <v>308</v>
      </c>
      <c r="D480" t="s">
        <v>86</v>
      </c>
      <c r="E480" t="s">
        <v>106</v>
      </c>
      <c r="G480" t="s">
        <v>309</v>
      </c>
      <c r="H480" t="b">
        <v>1</v>
      </c>
      <c r="I480" t="s">
        <v>293</v>
      </c>
      <c r="J480" t="s">
        <v>310</v>
      </c>
      <c r="R480" t="s">
        <v>311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31.809374999999999</v>
      </c>
      <c r="Z480" t="b">
        <v>1</v>
      </c>
      <c r="AA480" t="b">
        <v>1</v>
      </c>
      <c r="AC480" t="s">
        <v>312</v>
      </c>
      <c r="AD480">
        <v>1</v>
      </c>
      <c r="AE480" t="s">
        <v>313</v>
      </c>
      <c r="AF480" t="b">
        <v>0</v>
      </c>
      <c r="CA480" t="s">
        <v>314</v>
      </c>
      <c r="CB480" t="s">
        <v>147</v>
      </c>
      <c r="CE480" t="s">
        <v>96</v>
      </c>
    </row>
    <row r="481" spans="1:83" ht="15" customHeight="1">
      <c r="A481" t="s">
        <v>306</v>
      </c>
      <c r="J481" t="s">
        <v>281</v>
      </c>
      <c r="R481" t="s">
        <v>315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31.809374999999999</v>
      </c>
      <c r="Z481" t="b">
        <v>1</v>
      </c>
      <c r="AA481" t="b">
        <v>1</v>
      </c>
      <c r="AC481" t="s">
        <v>314</v>
      </c>
      <c r="AD481">
        <v>2</v>
      </c>
      <c r="AE481" t="s">
        <v>316</v>
      </c>
      <c r="CA481" t="s">
        <v>317</v>
      </c>
      <c r="CB481" t="s">
        <v>147</v>
      </c>
    </row>
    <row r="482" spans="1:83" ht="15" customHeight="1">
      <c r="A482" t="s">
        <v>306</v>
      </c>
      <c r="J482" t="s">
        <v>285</v>
      </c>
      <c r="R482" t="s">
        <v>318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31.809374999999999</v>
      </c>
      <c r="Z482" t="b">
        <v>1</v>
      </c>
      <c r="AA482" t="b">
        <v>1</v>
      </c>
      <c r="AC482" t="s">
        <v>319</v>
      </c>
      <c r="AD482">
        <v>3</v>
      </c>
      <c r="AE482" t="s">
        <v>320</v>
      </c>
      <c r="CA482" t="s">
        <v>312</v>
      </c>
      <c r="CB482" t="s">
        <v>147</v>
      </c>
    </row>
    <row r="483" spans="1:83" ht="15" customHeight="1">
      <c r="A483" t="s">
        <v>306</v>
      </c>
      <c r="J483" t="s">
        <v>183</v>
      </c>
      <c r="R483" t="s">
        <v>321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31.809374999999999</v>
      </c>
      <c r="Z483" t="b">
        <v>1</v>
      </c>
      <c r="AA483" t="b">
        <v>1</v>
      </c>
      <c r="AC483" t="s">
        <v>317</v>
      </c>
      <c r="AD483">
        <v>4</v>
      </c>
      <c r="AE483" t="s">
        <v>322</v>
      </c>
      <c r="CA483" t="s">
        <v>317</v>
      </c>
      <c r="CB483" t="s">
        <v>147</v>
      </c>
    </row>
    <row r="484" spans="1:83" ht="15" customHeight="1">
      <c r="A484" t="s">
        <v>306</v>
      </c>
      <c r="J484" t="s">
        <v>288</v>
      </c>
      <c r="R484" t="s">
        <v>323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31.809374999999999</v>
      </c>
      <c r="Z484" t="b">
        <v>1</v>
      </c>
      <c r="AA484" t="b">
        <v>1</v>
      </c>
      <c r="CA484" t="s">
        <v>319</v>
      </c>
      <c r="CB484" t="s">
        <v>147</v>
      </c>
    </row>
    <row r="485" spans="1:83" ht="15" customHeight="1">
      <c r="A485" t="s">
        <v>324</v>
      </c>
      <c r="B485" t="s">
        <v>325</v>
      </c>
      <c r="C485" s="1" t="s">
        <v>326</v>
      </c>
      <c r="D485" t="s">
        <v>86</v>
      </c>
      <c r="E485" t="s">
        <v>106</v>
      </c>
      <c r="G485" t="s">
        <v>327</v>
      </c>
      <c r="H485" t="b">
        <v>1</v>
      </c>
      <c r="I485" t="s">
        <v>293</v>
      </c>
      <c r="J485" t="s">
        <v>310</v>
      </c>
      <c r="R485" t="s">
        <v>328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6.4496250000000002</v>
      </c>
      <c r="Z485" t="b">
        <v>1</v>
      </c>
      <c r="AA485" t="b">
        <v>1</v>
      </c>
      <c r="AB485" t="s">
        <v>329</v>
      </c>
      <c r="AC485" t="s">
        <v>330</v>
      </c>
      <c r="AD485">
        <v>1</v>
      </c>
      <c r="AE485" t="s">
        <v>331</v>
      </c>
      <c r="AF485" t="b">
        <v>0</v>
      </c>
      <c r="CB485" t="s">
        <v>147</v>
      </c>
      <c r="CE485" t="s">
        <v>96</v>
      </c>
    </row>
    <row r="486" spans="1:83" ht="15" customHeight="1">
      <c r="A486" t="s">
        <v>324</v>
      </c>
      <c r="J486" t="s">
        <v>281</v>
      </c>
      <c r="R486" t="s">
        <v>332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6.4496250000000002</v>
      </c>
      <c r="Z486" t="b">
        <v>1</v>
      </c>
      <c r="AA486" t="b">
        <v>1</v>
      </c>
      <c r="CB486" t="s">
        <v>147</v>
      </c>
    </row>
    <row r="487" spans="1:83" ht="15" customHeight="1">
      <c r="A487" t="s">
        <v>324</v>
      </c>
      <c r="J487" t="s">
        <v>285</v>
      </c>
      <c r="R487" t="s">
        <v>333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6.4496250000000002</v>
      </c>
      <c r="Z487" t="b">
        <v>1</v>
      </c>
      <c r="AA487" t="b">
        <v>1</v>
      </c>
      <c r="CB487" t="s">
        <v>147</v>
      </c>
    </row>
    <row r="488" spans="1:83" ht="15" customHeight="1">
      <c r="A488" t="s">
        <v>324</v>
      </c>
      <c r="J488" t="s">
        <v>183</v>
      </c>
      <c r="R488" t="s">
        <v>334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6.4496250000000002</v>
      </c>
      <c r="Z488" t="b">
        <v>1</v>
      </c>
      <c r="AA488" t="b">
        <v>1</v>
      </c>
      <c r="CB488" t="s">
        <v>147</v>
      </c>
    </row>
    <row r="489" spans="1:83">
      <c r="A489" t="s">
        <v>335</v>
      </c>
      <c r="B489" t="s">
        <v>336</v>
      </c>
      <c r="D489" t="s">
        <v>86</v>
      </c>
      <c r="E489" t="s">
        <v>106</v>
      </c>
      <c r="G489" t="s">
        <v>337</v>
      </c>
      <c r="H489" t="b">
        <v>1</v>
      </c>
      <c r="I489" t="s">
        <v>5</v>
      </c>
      <c r="J489" t="s">
        <v>176</v>
      </c>
      <c r="L489" t="s">
        <v>108</v>
      </c>
      <c r="M489" t="s">
        <v>338</v>
      </c>
      <c r="R489" t="s">
        <v>339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32.686875000000001</v>
      </c>
      <c r="Z489" t="b">
        <v>1</v>
      </c>
      <c r="AA489" t="b">
        <v>1</v>
      </c>
      <c r="AC489" t="s">
        <v>340</v>
      </c>
      <c r="AD489">
        <v>1</v>
      </c>
      <c r="AE489" t="s">
        <v>341</v>
      </c>
      <c r="AF489" t="b">
        <v>0</v>
      </c>
      <c r="CB489" t="s">
        <v>147</v>
      </c>
      <c r="CE489" t="s">
        <v>96</v>
      </c>
    </row>
    <row r="490" spans="1:83">
      <c r="A490" t="s">
        <v>335</v>
      </c>
      <c r="J490" t="s">
        <v>176</v>
      </c>
      <c r="M490" t="s">
        <v>342</v>
      </c>
      <c r="R490" t="s">
        <v>339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65.373750000000001</v>
      </c>
      <c r="Z490" t="b">
        <v>1</v>
      </c>
      <c r="AA490" t="b">
        <v>1</v>
      </c>
      <c r="CB490" t="s">
        <v>147</v>
      </c>
    </row>
    <row r="491" spans="1:83">
      <c r="A491" t="s">
        <v>335</v>
      </c>
      <c r="J491" t="s">
        <v>176</v>
      </c>
      <c r="M491" t="s">
        <v>343</v>
      </c>
      <c r="R491" t="s">
        <v>339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130.7475</v>
      </c>
      <c r="Z491" t="b">
        <v>1</v>
      </c>
      <c r="AA491" t="b">
        <v>1</v>
      </c>
      <c r="CB491" t="s">
        <v>147</v>
      </c>
    </row>
    <row r="492" spans="1:83">
      <c r="A492" t="s">
        <v>335</v>
      </c>
      <c r="J492" t="s">
        <v>285</v>
      </c>
      <c r="M492" t="s">
        <v>338</v>
      </c>
      <c r="R492" t="s">
        <v>344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32.686875000000001</v>
      </c>
      <c r="Z492" t="b">
        <v>1</v>
      </c>
      <c r="AA492" t="b">
        <v>1</v>
      </c>
      <c r="CB492" t="s">
        <v>147</v>
      </c>
    </row>
    <row r="493" spans="1:83">
      <c r="A493" t="s">
        <v>335</v>
      </c>
      <c r="J493" t="s">
        <v>285</v>
      </c>
      <c r="M493" t="s">
        <v>342</v>
      </c>
      <c r="R493" t="s">
        <v>344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65.373750000000001</v>
      </c>
      <c r="Z493" t="b">
        <v>1</v>
      </c>
      <c r="AA493" t="b">
        <v>1</v>
      </c>
      <c r="CB493" t="s">
        <v>147</v>
      </c>
    </row>
    <row r="494" spans="1:83">
      <c r="A494" t="s">
        <v>335</v>
      </c>
      <c r="J494" t="s">
        <v>285</v>
      </c>
      <c r="M494" t="s">
        <v>343</v>
      </c>
      <c r="R494" t="s">
        <v>344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130.7475</v>
      </c>
      <c r="Z494" t="b">
        <v>1</v>
      </c>
      <c r="AA494" t="b">
        <v>1</v>
      </c>
      <c r="CB494" t="s">
        <v>147</v>
      </c>
    </row>
    <row r="495" spans="1:83">
      <c r="A495" t="s">
        <v>335</v>
      </c>
      <c r="J495" t="s">
        <v>183</v>
      </c>
      <c r="M495" t="s">
        <v>338</v>
      </c>
      <c r="R495" t="s">
        <v>345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32.686875000000001</v>
      </c>
      <c r="Z495" t="b">
        <v>1</v>
      </c>
      <c r="AA495" t="b">
        <v>1</v>
      </c>
      <c r="CB495" t="s">
        <v>147</v>
      </c>
    </row>
    <row r="496" spans="1:83">
      <c r="A496" t="s">
        <v>335</v>
      </c>
      <c r="J496" t="s">
        <v>183</v>
      </c>
      <c r="M496" t="s">
        <v>342</v>
      </c>
      <c r="R496" t="s">
        <v>345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65.373750000000001</v>
      </c>
      <c r="Z496" t="b">
        <v>1</v>
      </c>
      <c r="AA496" t="b">
        <v>1</v>
      </c>
      <c r="CB496" t="s">
        <v>147</v>
      </c>
    </row>
    <row r="497" spans="1:83">
      <c r="A497" t="s">
        <v>335</v>
      </c>
      <c r="J497" t="s">
        <v>183</v>
      </c>
      <c r="M497" t="s">
        <v>343</v>
      </c>
      <c r="R497" t="s">
        <v>345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130.7475</v>
      </c>
      <c r="Z497" t="b">
        <v>1</v>
      </c>
      <c r="AA497" t="b">
        <v>1</v>
      </c>
      <c r="CB497" t="s">
        <v>147</v>
      </c>
    </row>
    <row r="498" spans="1:83">
      <c r="A498" t="s">
        <v>335</v>
      </c>
      <c r="J498" t="s">
        <v>288</v>
      </c>
      <c r="M498" t="s">
        <v>338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32.686875000000001</v>
      </c>
      <c r="Z498" t="b">
        <v>1</v>
      </c>
      <c r="AA498" t="b">
        <v>1</v>
      </c>
      <c r="CB498" t="s">
        <v>147</v>
      </c>
    </row>
    <row r="499" spans="1:83">
      <c r="A499" t="s">
        <v>335</v>
      </c>
      <c r="J499" t="s">
        <v>288</v>
      </c>
      <c r="M499" t="s">
        <v>342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65.373750000000001</v>
      </c>
      <c r="Z499" t="b">
        <v>1</v>
      </c>
      <c r="AA499" t="b">
        <v>1</v>
      </c>
      <c r="CB499" t="s">
        <v>147</v>
      </c>
    </row>
    <row r="500" spans="1:83">
      <c r="A500" t="s">
        <v>335</v>
      </c>
      <c r="J500" t="s">
        <v>288</v>
      </c>
      <c r="M500" t="s">
        <v>343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130.7475</v>
      </c>
      <c r="Z500" t="b">
        <v>1</v>
      </c>
      <c r="AA500" t="b">
        <v>1</v>
      </c>
      <c r="CB500" t="s">
        <v>147</v>
      </c>
    </row>
    <row r="501" spans="1:83">
      <c r="A501" t="s">
        <v>346</v>
      </c>
      <c r="B501" t="s">
        <v>347</v>
      </c>
      <c r="D501" t="s">
        <v>86</v>
      </c>
      <c r="E501" t="s">
        <v>106</v>
      </c>
      <c r="G501" t="s">
        <v>348</v>
      </c>
      <c r="H501" t="b">
        <v>1</v>
      </c>
      <c r="I501" t="s">
        <v>108</v>
      </c>
      <c r="J501" t="s">
        <v>349</v>
      </c>
      <c r="L501" t="s">
        <v>350</v>
      </c>
      <c r="M501" t="s">
        <v>168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0.83039798547169807</v>
      </c>
      <c r="Z501" t="b">
        <v>1</v>
      </c>
      <c r="AA501" t="b">
        <v>1</v>
      </c>
      <c r="AC501" t="s">
        <v>351</v>
      </c>
      <c r="AD501">
        <v>1</v>
      </c>
      <c r="AE501" t="s">
        <v>352</v>
      </c>
      <c r="AF501" t="b">
        <v>0</v>
      </c>
      <c r="CB501" t="s">
        <v>147</v>
      </c>
      <c r="CE501" t="s">
        <v>96</v>
      </c>
    </row>
    <row r="502" spans="1:83">
      <c r="A502" t="s">
        <v>346</v>
      </c>
      <c r="J502" t="s">
        <v>349</v>
      </c>
      <c r="M502" t="s">
        <v>169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9.9647758256603769</v>
      </c>
      <c r="Z502" t="b">
        <v>1</v>
      </c>
      <c r="AA502" t="b">
        <v>1</v>
      </c>
      <c r="CB502" t="s">
        <v>147</v>
      </c>
    </row>
    <row r="503" spans="1:83">
      <c r="A503" t="s">
        <v>346</v>
      </c>
      <c r="J503" t="s">
        <v>121</v>
      </c>
      <c r="M503" t="s">
        <v>168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1.7566111231132073</v>
      </c>
      <c r="Z503" t="b">
        <v>1</v>
      </c>
      <c r="AA503" t="b">
        <v>1</v>
      </c>
      <c r="CB503" t="s">
        <v>147</v>
      </c>
    </row>
    <row r="504" spans="1:83">
      <c r="A504" t="s">
        <v>346</v>
      </c>
      <c r="J504" t="s">
        <v>121</v>
      </c>
      <c r="M504" t="s">
        <v>169</v>
      </c>
      <c r="S504">
        <v>45.359237</v>
      </c>
      <c r="U504">
        <v>0</v>
      </c>
      <c r="V504" t="s">
        <v>93</v>
      </c>
      <c r="W504" t="s">
        <v>94</v>
      </c>
      <c r="X504" s="97">
        <f>X503*12</f>
        <v>21.079333477358489</v>
      </c>
      <c r="Z504" t="b">
        <v>1</v>
      </c>
      <c r="AA504" t="b">
        <v>1</v>
      </c>
      <c r="CB504" t="s">
        <v>147</v>
      </c>
    </row>
    <row r="505" spans="1:83">
      <c r="A505" t="s">
        <v>346</v>
      </c>
      <c r="J505" t="s">
        <v>122</v>
      </c>
      <c r="M505" t="s">
        <v>168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3.2736843658018864</v>
      </c>
      <c r="Z505" t="b">
        <v>1</v>
      </c>
      <c r="AA505" t="b">
        <v>1</v>
      </c>
      <c r="CB505" t="s">
        <v>147</v>
      </c>
    </row>
    <row r="506" spans="1:83">
      <c r="A506" t="s">
        <v>346</v>
      </c>
      <c r="J506" t="s">
        <v>122</v>
      </c>
      <c r="M506" t="s">
        <v>169</v>
      </c>
      <c r="S506">
        <v>45.359237</v>
      </c>
      <c r="U506">
        <v>0</v>
      </c>
      <c r="V506" t="s">
        <v>93</v>
      </c>
      <c r="W506" t="s">
        <v>94</v>
      </c>
      <c r="X506" s="97">
        <f>X505*12</f>
        <v>39.284212389622638</v>
      </c>
      <c r="Z506" t="b">
        <v>1</v>
      </c>
      <c r="AA506" t="b">
        <v>1</v>
      </c>
      <c r="CB506" t="s">
        <v>147</v>
      </c>
    </row>
    <row r="507" spans="1:83">
      <c r="A507" t="s">
        <v>346</v>
      </c>
      <c r="J507" t="s">
        <v>123</v>
      </c>
      <c r="M507" t="s">
        <v>168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5.7800490546438663</v>
      </c>
      <c r="Z507" t="b">
        <v>1</v>
      </c>
      <c r="AA507" t="b">
        <v>1</v>
      </c>
      <c r="CB507" t="s">
        <v>147</v>
      </c>
    </row>
    <row r="508" spans="1:83">
      <c r="A508" t="s">
        <v>346</v>
      </c>
      <c r="J508" t="s">
        <v>123</v>
      </c>
      <c r="M508" t="s">
        <v>169</v>
      </c>
      <c r="S508">
        <v>45.359237</v>
      </c>
      <c r="U508">
        <v>0</v>
      </c>
      <c r="V508" t="s">
        <v>93</v>
      </c>
      <c r="W508" t="s">
        <v>94</v>
      </c>
      <c r="X508" s="97">
        <f>X507*12</f>
        <v>69.360588655726389</v>
      </c>
      <c r="Z508" t="b">
        <v>1</v>
      </c>
      <c r="AA508" t="b">
        <v>1</v>
      </c>
      <c r="CB508" t="s">
        <v>147</v>
      </c>
    </row>
    <row r="509" spans="1:83">
      <c r="A509" t="s">
        <v>346</v>
      </c>
      <c r="J509" t="s">
        <v>124</v>
      </c>
      <c r="M509" t="s">
        <v>168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6.5047842195283012</v>
      </c>
      <c r="Z509" t="b">
        <v>1</v>
      </c>
      <c r="AA509" t="b">
        <v>1</v>
      </c>
      <c r="CB509" t="s">
        <v>147</v>
      </c>
    </row>
    <row r="510" spans="1:83">
      <c r="A510" t="s">
        <v>346</v>
      </c>
      <c r="J510" t="s">
        <v>124</v>
      </c>
      <c r="M510" t="s">
        <v>169</v>
      </c>
      <c r="S510">
        <v>45.359237</v>
      </c>
      <c r="U510">
        <v>0</v>
      </c>
      <c r="V510" t="s">
        <v>93</v>
      </c>
      <c r="W510" t="s">
        <v>94</v>
      </c>
      <c r="X510" s="97">
        <f>X509*12</f>
        <v>78.057410634339618</v>
      </c>
      <c r="Z510" t="b">
        <v>1</v>
      </c>
      <c r="AA510" t="b">
        <v>1</v>
      </c>
      <c r="CB510" t="s">
        <v>147</v>
      </c>
    </row>
    <row r="511" spans="1:83">
      <c r="A511" t="s">
        <v>346</v>
      </c>
      <c r="J511" t="s">
        <v>353</v>
      </c>
      <c r="M511" t="s">
        <v>168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11.086877718849054</v>
      </c>
      <c r="Z511" t="b">
        <v>1</v>
      </c>
      <c r="AA511" t="b">
        <v>1</v>
      </c>
      <c r="CB511" t="s">
        <v>147</v>
      </c>
    </row>
    <row r="512" spans="1:83">
      <c r="A512" t="s">
        <v>346</v>
      </c>
      <c r="J512" t="s">
        <v>353</v>
      </c>
      <c r="M512" t="s">
        <v>169</v>
      </c>
      <c r="S512">
        <v>45.359237</v>
      </c>
      <c r="U512">
        <v>0</v>
      </c>
      <c r="V512" t="s">
        <v>93</v>
      </c>
      <c r="W512" t="s">
        <v>94</v>
      </c>
      <c r="X512" s="97">
        <f>X511*12</f>
        <v>133.04253262618866</v>
      </c>
      <c r="Z512" t="b">
        <v>1</v>
      </c>
      <c r="AA512" t="b">
        <v>1</v>
      </c>
      <c r="CB512" t="s">
        <v>147</v>
      </c>
    </row>
    <row r="513" spans="1:80">
      <c r="A513" t="s">
        <v>346</v>
      </c>
      <c r="J513" t="s">
        <v>125</v>
      </c>
      <c r="M513" t="s">
        <v>168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14.061405887320753</v>
      </c>
      <c r="Z513" t="b">
        <v>1</v>
      </c>
      <c r="AA513" t="b">
        <v>1</v>
      </c>
      <c r="CB513" t="s">
        <v>147</v>
      </c>
    </row>
    <row r="514" spans="1:80">
      <c r="A514" t="s">
        <v>346</v>
      </c>
      <c r="J514" t="s">
        <v>125</v>
      </c>
      <c r="M514" t="s">
        <v>169</v>
      </c>
      <c r="S514">
        <v>45.359237</v>
      </c>
      <c r="U514">
        <v>0</v>
      </c>
      <c r="V514" t="s">
        <v>93</v>
      </c>
      <c r="W514" t="s">
        <v>94</v>
      </c>
      <c r="X514" s="97">
        <f>X513*12</f>
        <v>168.73687064784903</v>
      </c>
      <c r="Z514" t="b">
        <v>1</v>
      </c>
      <c r="AA514" t="b">
        <v>1</v>
      </c>
      <c r="CB51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topLeftCell="A84" zoomScale="111" workbookViewId="0">
      <selection activeCell="D6" sqref="D6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6" width="12.42578125" style="2" customWidth="1"/>
    <col min="7" max="16384" width="12.42578125" style="2"/>
  </cols>
  <sheetData>
    <row r="1" spans="1:13" ht="23.1" customHeight="1">
      <c r="E1" s="98" t="s">
        <v>354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355</v>
      </c>
      <c r="B4" s="6"/>
      <c r="C4" s="6"/>
      <c r="D4" s="7">
        <v>4620</v>
      </c>
      <c r="E4" s="8"/>
      <c r="F4" s="9"/>
      <c r="G4" s="7" t="s">
        <v>356</v>
      </c>
      <c r="H4" s="6"/>
      <c r="I4" s="6"/>
      <c r="J4" s="7">
        <f>D4/L4</f>
        <v>8.4</v>
      </c>
      <c r="K4" s="10" t="s">
        <v>357</v>
      </c>
      <c r="L4" s="2">
        <v>550</v>
      </c>
    </row>
    <row r="5" spans="1:13" ht="18" customHeight="1" thickTop="1" thickBot="1">
      <c r="A5" s="11" t="s">
        <v>358</v>
      </c>
      <c r="B5" s="11"/>
      <c r="C5" s="11"/>
      <c r="D5" s="12">
        <v>87.75</v>
      </c>
      <c r="E5" s="8"/>
      <c r="F5" s="13"/>
      <c r="G5" s="12" t="s">
        <v>359</v>
      </c>
      <c r="H5" s="11"/>
      <c r="I5" s="11"/>
      <c r="J5" s="12">
        <f>D5/L5</f>
        <v>53.834355828220865</v>
      </c>
      <c r="K5" s="14" t="s">
        <v>360</v>
      </c>
      <c r="L5" s="2">
        <v>1.63</v>
      </c>
    </row>
    <row r="6" spans="1:13" ht="18" customHeight="1" thickTop="1" thickBot="1">
      <c r="A6" s="11" t="s">
        <v>361</v>
      </c>
      <c r="B6" s="11"/>
      <c r="C6" s="11"/>
      <c r="D6" s="12">
        <v>2390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362</v>
      </c>
      <c r="B7" s="11"/>
      <c r="C7" s="11"/>
      <c r="D7" s="12">
        <v>1925</v>
      </c>
      <c r="E7" s="8"/>
      <c r="F7" s="9"/>
      <c r="G7" s="7"/>
      <c r="H7" s="18"/>
      <c r="I7" s="18"/>
      <c r="J7" s="18"/>
      <c r="K7" s="18"/>
      <c r="L7" s="2" t="s">
        <v>363</v>
      </c>
      <c r="M7" s="2" t="s">
        <v>364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365</v>
      </c>
      <c r="H8" s="4"/>
      <c r="I8" s="4"/>
      <c r="J8" s="19">
        <f>D6/L8</f>
        <v>171.94244604316546</v>
      </c>
      <c r="K8" s="20" t="s">
        <v>357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366</v>
      </c>
      <c r="B9" s="16"/>
      <c r="C9" s="16"/>
      <c r="D9" s="15">
        <f>D4*102%</f>
        <v>4712.3999999999996</v>
      </c>
      <c r="E9" s="8"/>
      <c r="F9" s="15"/>
      <c r="G9" s="6" t="s">
        <v>367</v>
      </c>
      <c r="H9" s="6"/>
      <c r="I9" s="7"/>
      <c r="J9" s="21">
        <f>D6/L9</f>
        <v>160.40268456375838</v>
      </c>
      <c r="K9" s="10" t="s">
        <v>357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368</v>
      </c>
      <c r="C10" s="6"/>
      <c r="D10" s="7">
        <f>(D4+40)/20</f>
        <v>233</v>
      </c>
      <c r="E10" s="8"/>
      <c r="F10" s="9"/>
      <c r="G10" s="12" t="s">
        <v>369</v>
      </c>
      <c r="H10" s="22"/>
      <c r="I10" s="22"/>
      <c r="J10" s="21">
        <f>D7/L11</f>
        <v>126.328125</v>
      </c>
      <c r="K10" s="10" t="s">
        <v>357</v>
      </c>
      <c r="L10" s="2">
        <f>556/36</f>
        <v>15.444444444444445</v>
      </c>
      <c r="M10" s="4" t="s">
        <v>370</v>
      </c>
    </row>
    <row r="11" spans="1:13" ht="17.100000000000001" customHeight="1" thickTop="1">
      <c r="A11" s="16"/>
      <c r="B11" s="16"/>
      <c r="C11" s="16"/>
      <c r="D11" s="15"/>
      <c r="E11" s="8" t="s">
        <v>371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372</v>
      </c>
      <c r="K12" s="27" t="s">
        <v>373</v>
      </c>
    </row>
    <row r="13" spans="1:13" ht="18" customHeight="1">
      <c r="B13" s="28" t="s">
        <v>374</v>
      </c>
      <c r="C13" s="28"/>
      <c r="D13" s="28"/>
      <c r="E13" s="28"/>
      <c r="F13" s="28"/>
      <c r="G13" s="28"/>
      <c r="H13" s="28"/>
      <c r="I13" s="28"/>
      <c r="J13" s="29">
        <f>D4/L13</f>
        <v>184.8</v>
      </c>
      <c r="K13" s="30">
        <f>J13/1.55517</f>
        <v>118.8294527286406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375</v>
      </c>
      <c r="C15" s="28"/>
      <c r="D15" s="28"/>
      <c r="E15" s="28"/>
      <c r="F15" s="28"/>
      <c r="G15" s="28"/>
      <c r="H15" s="28"/>
      <c r="I15" s="28"/>
      <c r="J15" s="29">
        <f>D4/L15</f>
        <v>186.66666666666666</v>
      </c>
      <c r="K15" s="30">
        <f>J15/1.555517</f>
        <v>120.0029743594359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376</v>
      </c>
      <c r="C17" s="28"/>
      <c r="D17" s="28"/>
      <c r="E17" s="28"/>
      <c r="F17" s="28"/>
      <c r="G17" s="28"/>
      <c r="H17" s="28"/>
      <c r="I17" s="28"/>
      <c r="J17" s="29">
        <f>D4/L17</f>
        <v>187.80487804878047</v>
      </c>
      <c r="K17" s="30">
        <f>J17/1.55517</f>
        <v>120.76163895187052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377</v>
      </c>
      <c r="C19" s="34"/>
      <c r="D19" s="34"/>
      <c r="E19" s="34"/>
      <c r="F19" s="35"/>
      <c r="G19" s="34"/>
      <c r="H19" s="34"/>
      <c r="I19" s="28"/>
      <c r="J19" s="29">
        <f>D4/L19</f>
        <v>190.90909090909091</v>
      </c>
      <c r="K19" s="30">
        <f>J19/1.55517</f>
        <v>122.75769909983534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378</v>
      </c>
      <c r="C21" s="28"/>
      <c r="D21" s="28"/>
      <c r="E21" s="28"/>
      <c r="F21" s="28"/>
      <c r="G21" s="28"/>
      <c r="H21" s="28"/>
      <c r="I21" s="28"/>
      <c r="J21" s="29">
        <f>D4/L21</f>
        <v>192.5</v>
      </c>
      <c r="K21" s="30">
        <f>J21/1.55517</f>
        <v>123.7806799256673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379</v>
      </c>
      <c r="C23" s="28"/>
      <c r="D23" s="28"/>
      <c r="E23" s="28"/>
      <c r="F23" s="28"/>
      <c r="G23" s="28"/>
      <c r="H23" s="28"/>
      <c r="I23" s="28"/>
      <c r="J23" s="29">
        <f>D4/L23</f>
        <v>196.59574468085106</v>
      </c>
      <c r="K23" s="30">
        <f>J23/1.55517</f>
        <v>126.41431141344745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380</v>
      </c>
      <c r="C25" s="28"/>
      <c r="D25" s="28"/>
      <c r="E25" s="28"/>
      <c r="F25" s="28"/>
      <c r="G25" s="28"/>
      <c r="H25" s="28"/>
      <c r="I25" s="28"/>
      <c r="J25" s="29">
        <f>D4/L25</f>
        <v>210</v>
      </c>
      <c r="K25" s="30">
        <f>J25/1.55517</f>
        <v>135.03346900981887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381</v>
      </c>
      <c r="C27" s="28"/>
      <c r="D27" s="28"/>
      <c r="E27" s="28"/>
      <c r="F27" s="28"/>
      <c r="G27" s="28"/>
      <c r="H27" s="28"/>
      <c r="I27" s="28"/>
      <c r="J27" s="29">
        <f>D4/L27</f>
        <v>243.15789473684211</v>
      </c>
      <c r="K27" s="30">
        <f>J27/1.55517</f>
        <v>156.35454306400081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382</v>
      </c>
      <c r="C29" s="28"/>
      <c r="D29" s="28"/>
      <c r="E29" s="28"/>
      <c r="F29" s="28"/>
      <c r="G29" s="28"/>
      <c r="H29" s="28"/>
      <c r="I29" s="28"/>
      <c r="J29" s="29">
        <f>D4/L29</f>
        <v>256.66666666666669</v>
      </c>
      <c r="K29" s="30">
        <f>J29/1.55517</f>
        <v>165.04090656755642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383</v>
      </c>
      <c r="C33" s="28"/>
      <c r="D33" s="28"/>
      <c r="E33" s="28"/>
      <c r="F33" s="28"/>
      <c r="G33" s="28"/>
      <c r="H33" s="28"/>
      <c r="I33" s="28"/>
      <c r="J33" s="29">
        <f>D4/L33</f>
        <v>231</v>
      </c>
      <c r="K33" s="30">
        <f>J33/1.55517</f>
        <v>148.53681591080075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384</v>
      </c>
      <c r="C35" s="28"/>
      <c r="D35" s="28"/>
      <c r="E35" s="28"/>
      <c r="F35" s="28"/>
      <c r="G35" s="28"/>
      <c r="H35" s="28"/>
      <c r="I35" s="28"/>
      <c r="J35" s="29">
        <f>D4/L35</f>
        <v>232.16080402010053</v>
      </c>
      <c r="K35" s="30">
        <f>J35/1.55517</f>
        <v>149.28323207115656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385</v>
      </c>
      <c r="C37" s="28"/>
      <c r="D37" s="28"/>
      <c r="E37" s="28"/>
      <c r="F37" s="28"/>
      <c r="G37" s="28"/>
      <c r="H37" s="28"/>
      <c r="I37" s="28"/>
      <c r="J37" s="29">
        <f>D4/L37</f>
        <v>233.33333333333331</v>
      </c>
      <c r="K37" s="30">
        <f>J37/1.55517</f>
        <v>150.03718778868762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386</v>
      </c>
      <c r="C39" s="28"/>
      <c r="D39" s="28"/>
      <c r="E39" s="28"/>
      <c r="F39" s="28"/>
      <c r="G39" s="28"/>
      <c r="H39" s="28"/>
      <c r="I39" s="34"/>
      <c r="J39" s="29">
        <f>D4/L39</f>
        <v>247.05882352941177</v>
      </c>
      <c r="K39" s="30">
        <f>J39/1.55517</f>
        <v>158.86290471743396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387</v>
      </c>
      <c r="C43" s="28"/>
      <c r="D43" s="28"/>
      <c r="E43" s="28"/>
      <c r="F43" s="28"/>
      <c r="G43" s="28"/>
      <c r="H43" s="28"/>
      <c r="I43" s="28"/>
      <c r="J43" s="29">
        <f>D4/L43</f>
        <v>261.0169491525424</v>
      </c>
      <c r="K43" s="30">
        <f>J43/1.55517</f>
        <v>167.83821006870144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388</v>
      </c>
      <c r="C45" s="28"/>
      <c r="D45" s="28"/>
      <c r="E45" s="28"/>
      <c r="F45" s="28"/>
      <c r="G45" s="28"/>
      <c r="H45" s="28"/>
      <c r="I45" s="28"/>
      <c r="J45" s="29">
        <f>D4/L45</f>
        <v>308</v>
      </c>
      <c r="K45" s="30">
        <f>J45/1.55517</f>
        <v>198.04908788106766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389</v>
      </c>
      <c r="C50" s="41"/>
      <c r="D50" s="41"/>
      <c r="E50" s="42" t="s">
        <v>373</v>
      </c>
      <c r="F50" s="25"/>
      <c r="G50" s="24"/>
      <c r="H50" s="43" t="s">
        <v>390</v>
      </c>
      <c r="I50" s="43"/>
      <c r="J50" s="44"/>
      <c r="K50" s="45" t="s">
        <v>373</v>
      </c>
      <c r="L50" s="2">
        <v>14</v>
      </c>
      <c r="M50" s="2">
        <v>18</v>
      </c>
    </row>
    <row r="51" spans="2:13" ht="18" customHeight="1">
      <c r="B51" s="28" t="s">
        <v>391</v>
      </c>
      <c r="C51" s="28"/>
      <c r="D51" s="29">
        <f>D4/L51</f>
        <v>184.8</v>
      </c>
      <c r="E51" s="46">
        <f>D51/1.55517</f>
        <v>118.8294527286406</v>
      </c>
      <c r="F51" s="25"/>
      <c r="G51" s="24"/>
      <c r="H51" s="28" t="s">
        <v>391</v>
      </c>
      <c r="I51" s="28"/>
      <c r="J51" s="29">
        <f>D4/M51</f>
        <v>231</v>
      </c>
      <c r="K51" s="30">
        <f>J51/1.55517</f>
        <v>148.53681591080075</v>
      </c>
      <c r="L51" s="2">
        <v>25</v>
      </c>
      <c r="M51" s="2">
        <v>20</v>
      </c>
    </row>
    <row r="52" spans="2:13" ht="18" customHeight="1">
      <c r="B52" s="47" t="s">
        <v>392</v>
      </c>
      <c r="C52" s="47"/>
      <c r="D52" s="48">
        <f>D4/L52</f>
        <v>177.69230769230768</v>
      </c>
      <c r="E52" s="46">
        <f>D52/1.55517</f>
        <v>114.25908916215442</v>
      </c>
      <c r="F52" s="25"/>
      <c r="G52" s="24"/>
      <c r="H52" s="47" t="s">
        <v>392</v>
      </c>
      <c r="I52" s="47"/>
      <c r="J52" s="48">
        <f>D4/M52</f>
        <v>225.36585365853659</v>
      </c>
      <c r="K52" s="30">
        <f>J52/1.55517</f>
        <v>144.91396674224464</v>
      </c>
      <c r="L52" s="2">
        <v>26</v>
      </c>
      <c r="M52" s="2">
        <v>20.5</v>
      </c>
    </row>
    <row r="53" spans="2:13" ht="18" customHeight="1">
      <c r="B53" s="28" t="s">
        <v>393</v>
      </c>
      <c r="C53" s="28"/>
      <c r="D53" s="29">
        <f>D4/L53</f>
        <v>174.33962264150944</v>
      </c>
      <c r="E53" s="46">
        <f>D53/1.55517</f>
        <v>112.10325729117038</v>
      </c>
      <c r="F53" s="25"/>
      <c r="G53" s="24"/>
      <c r="H53" s="47" t="s">
        <v>393</v>
      </c>
      <c r="I53" s="47"/>
      <c r="J53" s="48">
        <f>D4/M53</f>
        <v>220</v>
      </c>
      <c r="K53" s="30">
        <f>J53/1.55517</f>
        <v>141.46363420076261</v>
      </c>
      <c r="L53" s="2">
        <v>26.5</v>
      </c>
      <c r="M53" s="2">
        <v>21</v>
      </c>
    </row>
    <row r="54" spans="2:13" ht="18.95" customHeight="1" thickBot="1">
      <c r="B54" s="49" t="s">
        <v>394</v>
      </c>
      <c r="C54" s="50"/>
      <c r="D54" s="51">
        <f>D4/L54</f>
        <v>171.11111111111111</v>
      </c>
      <c r="E54" s="52">
        <f>D54/1.55517</f>
        <v>110.02727104503759</v>
      </c>
      <c r="F54" s="50" t="s">
        <v>395</v>
      </c>
      <c r="G54" s="50"/>
      <c r="H54" s="50"/>
      <c r="I54" s="50"/>
      <c r="J54" s="53">
        <f>D4/M54</f>
        <v>210</v>
      </c>
      <c r="K54" s="30">
        <f>J54/1.55517</f>
        <v>135.03346900981887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396</v>
      </c>
      <c r="C56" s="41"/>
      <c r="D56" s="41"/>
      <c r="E56" s="57"/>
      <c r="F56" s="25"/>
      <c r="G56" s="24"/>
      <c r="H56" s="43" t="s">
        <v>397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391</v>
      </c>
      <c r="C57" s="28"/>
      <c r="D57" s="29">
        <f>D4/L57</f>
        <v>144.375</v>
      </c>
      <c r="E57" s="46">
        <f>D57/1.77717</f>
        <v>81.238710984317763</v>
      </c>
      <c r="F57" s="25"/>
      <c r="G57" s="24"/>
      <c r="H57" s="28" t="s">
        <v>391</v>
      </c>
      <c r="I57" s="28"/>
      <c r="J57" s="29">
        <f>D4/M57</f>
        <v>261.0169491525424</v>
      </c>
      <c r="K57" s="30">
        <f>J57/1.55517</f>
        <v>167.83821006870144</v>
      </c>
      <c r="L57" s="2">
        <v>32</v>
      </c>
      <c r="M57" s="2">
        <v>17.7</v>
      </c>
    </row>
    <row r="58" spans="2:13" ht="18" customHeight="1">
      <c r="B58" s="47" t="s">
        <v>392</v>
      </c>
      <c r="C58" s="47"/>
      <c r="D58" s="48">
        <f>D4/L58</f>
        <v>142.15384615384616</v>
      </c>
      <c r="E58" s="46">
        <f>D58/1.55517</f>
        <v>91.407271329723542</v>
      </c>
      <c r="F58" s="25"/>
      <c r="G58" s="24"/>
      <c r="H58" s="47" t="s">
        <v>392</v>
      </c>
      <c r="I58" s="47"/>
      <c r="J58" s="29">
        <f>D4/M58</f>
        <v>256.66666666666669</v>
      </c>
      <c r="K58" s="30">
        <f>J58/1.55517</f>
        <v>165.04090656755642</v>
      </c>
      <c r="L58" s="2">
        <v>32.5</v>
      </c>
      <c r="M58" s="2">
        <v>18</v>
      </c>
    </row>
    <row r="59" spans="2:13" ht="18.95" customHeight="1" thickBot="1">
      <c r="B59" s="50" t="s">
        <v>393</v>
      </c>
      <c r="C59" s="50"/>
      <c r="D59" s="53">
        <f>D4/L59</f>
        <v>131.06382978723406</v>
      </c>
      <c r="E59" s="58">
        <f>D59/1.55517</f>
        <v>84.276207608964981</v>
      </c>
      <c r="F59" s="59"/>
      <c r="G59" s="60"/>
      <c r="H59" s="61" t="s">
        <v>393</v>
      </c>
      <c r="I59" s="61"/>
      <c r="J59" s="62">
        <f>D4/M59</f>
        <v>243.15789473684211</v>
      </c>
      <c r="K59" s="30">
        <f>J59/1.55517</f>
        <v>156.35454306400081</v>
      </c>
      <c r="L59" s="2">
        <v>35.25</v>
      </c>
      <c r="M59" s="2">
        <v>19</v>
      </c>
    </row>
    <row r="60" spans="2:13" ht="18" customHeight="1">
      <c r="B60" s="43" t="s">
        <v>398</v>
      </c>
      <c r="C60" s="31"/>
      <c r="D60" s="63">
        <f>D4/L60</f>
        <v>128.33333333333334</v>
      </c>
      <c r="E60" s="64">
        <f>D60/1.55517</f>
        <v>82.52045328377821</v>
      </c>
      <c r="F60" s="31" t="s">
        <v>399</v>
      </c>
      <c r="G60" s="31"/>
      <c r="H60" s="31"/>
      <c r="I60" s="31"/>
      <c r="J60" s="65">
        <f>D4/M60</f>
        <v>236.92307692307693</v>
      </c>
      <c r="K60" s="66">
        <f>J60/1.55517</f>
        <v>152.3454522162059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355</v>
      </c>
      <c r="C63" s="68">
        <f>D4</f>
        <v>4620</v>
      </c>
      <c r="D63" s="67"/>
      <c r="E63" s="67"/>
      <c r="F63" s="67" t="s">
        <v>400</v>
      </c>
      <c r="G63" s="68">
        <f>C63/H63</f>
        <v>77</v>
      </c>
      <c r="H63" s="69">
        <v>60</v>
      </c>
      <c r="I63" s="70"/>
    </row>
    <row r="64" spans="2:13">
      <c r="B64" s="67" t="s">
        <v>358</v>
      </c>
      <c r="C64" s="68">
        <f>D5</f>
        <v>87.75</v>
      </c>
      <c r="D64" s="67"/>
      <c r="E64" s="67"/>
      <c r="F64" s="67" t="s">
        <v>359</v>
      </c>
      <c r="G64" s="68">
        <f>C64/H64</f>
        <v>53.834355828220865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401</v>
      </c>
      <c r="C68" s="76"/>
      <c r="D68" s="76"/>
      <c r="E68" s="75"/>
      <c r="F68" s="75" t="s">
        <v>402</v>
      </c>
      <c r="G68" s="77"/>
      <c r="H68" s="78"/>
      <c r="M68" s="75" t="s">
        <v>403</v>
      </c>
      <c r="N68" s="77">
        <f>D4/P68</f>
        <v>221.17009512228984</v>
      </c>
      <c r="O68" s="78">
        <v>0.52</v>
      </c>
      <c r="P68" s="2">
        <v>20.8889</v>
      </c>
    </row>
    <row r="69" spans="2:16" ht="18" customHeight="1">
      <c r="B69" s="75" t="s">
        <v>404</v>
      </c>
      <c r="C69" s="76"/>
      <c r="D69" s="76">
        <f>D5/H69</f>
        <v>132.95454545454544</v>
      </c>
      <c r="E69" s="75"/>
      <c r="F69" s="75" t="s">
        <v>405</v>
      </c>
      <c r="G69" s="77">
        <f>D5/I69</f>
        <v>141.53225806451613</v>
      </c>
      <c r="H69" s="78">
        <v>0.66</v>
      </c>
      <c r="I69" s="2">
        <v>0.62</v>
      </c>
      <c r="M69" s="75" t="s">
        <v>406</v>
      </c>
      <c r="N69" s="77">
        <f>D4/P69</f>
        <v>206.01639212678481</v>
      </c>
      <c r="O69" s="78">
        <v>0.54</v>
      </c>
      <c r="P69" s="2">
        <v>22.4254</v>
      </c>
    </row>
    <row r="70" spans="2:16" ht="18" customHeight="1">
      <c r="B70" s="75" t="s">
        <v>407</v>
      </c>
      <c r="C70" s="76"/>
      <c r="D70" s="76">
        <f>C64/H70</f>
        <v>119.09609120521172</v>
      </c>
      <c r="E70" s="75"/>
      <c r="F70" s="75" t="s">
        <v>408</v>
      </c>
      <c r="G70" s="77">
        <f>C64/I70</f>
        <v>130.79445520942016</v>
      </c>
      <c r="H70" s="78">
        <v>0.73680000000000001</v>
      </c>
      <c r="I70" s="2">
        <v>0.67090000000000005</v>
      </c>
    </row>
    <row r="71" spans="2:16" ht="18" customHeight="1">
      <c r="B71" s="75" t="s">
        <v>409</v>
      </c>
      <c r="C71" s="76"/>
      <c r="D71" s="76">
        <f>C64/H71</f>
        <v>118.58108108108108</v>
      </c>
      <c r="E71" s="75"/>
      <c r="F71" s="75" t="s">
        <v>410</v>
      </c>
      <c r="G71" s="77">
        <f>C64/I71</f>
        <v>129.08208296557811</v>
      </c>
      <c r="H71" s="78">
        <v>0.74</v>
      </c>
      <c r="I71" s="2">
        <v>0.67979999999999996</v>
      </c>
    </row>
    <row r="72" spans="2:16" ht="18" customHeight="1">
      <c r="B72" s="75" t="s">
        <v>411</v>
      </c>
      <c r="C72" s="76"/>
      <c r="D72" s="76">
        <f>C64/H72</f>
        <v>115.61264822134387</v>
      </c>
      <c r="E72" s="75"/>
      <c r="F72" s="75" t="s">
        <v>411</v>
      </c>
      <c r="G72" s="77">
        <f>C64/I72</f>
        <v>120.2054794520548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412</v>
      </c>
      <c r="C74" s="79"/>
      <c r="D74" s="75" t="s">
        <v>413</v>
      </c>
      <c r="G74" s="74"/>
      <c r="H74" s="69"/>
    </row>
    <row r="76" spans="2:16">
      <c r="C76" s="80"/>
      <c r="G76" s="81"/>
      <c r="H76" s="82"/>
    </row>
    <row r="77" spans="2:16">
      <c r="B77" s="83" t="s">
        <v>355</v>
      </c>
      <c r="C77" s="84">
        <f>D4</f>
        <v>4620</v>
      </c>
      <c r="D77" s="83"/>
      <c r="E77" s="83"/>
      <c r="F77" s="83" t="s">
        <v>400</v>
      </c>
      <c r="G77" s="84">
        <f>C77/H77</f>
        <v>77</v>
      </c>
      <c r="H77" s="82">
        <v>60</v>
      </c>
      <c r="I77" s="85"/>
    </row>
    <row r="78" spans="2:16">
      <c r="B78" s="83" t="s">
        <v>358</v>
      </c>
      <c r="C78" s="84">
        <f>D5</f>
        <v>87.75</v>
      </c>
      <c r="D78" s="83"/>
      <c r="E78" s="83"/>
      <c r="F78" s="83" t="s">
        <v>359</v>
      </c>
      <c r="G78" s="84">
        <f>C78/H78</f>
        <v>53.834355828220865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414</v>
      </c>
      <c r="C81" s="91"/>
      <c r="D81" s="91">
        <f>C78/H81</f>
        <v>168.75</v>
      </c>
      <c r="E81" s="91"/>
      <c r="F81" s="90" t="s">
        <v>403</v>
      </c>
      <c r="G81" s="92">
        <f>C77/I81</f>
        <v>217.9245283018868</v>
      </c>
      <c r="H81" s="93">
        <v>0.52</v>
      </c>
      <c r="I81">
        <v>21.2</v>
      </c>
    </row>
    <row r="82" spans="2:9" ht="18" customHeight="1">
      <c r="B82" s="90" t="s">
        <v>415</v>
      </c>
      <c r="C82" s="91"/>
      <c r="D82" s="91">
        <f>C78/H82</f>
        <v>162.5</v>
      </c>
      <c r="E82" s="90"/>
      <c r="F82" s="90" t="s">
        <v>406</v>
      </c>
      <c r="G82" s="92">
        <f>C77/I82</f>
        <v>211.92660550458714</v>
      </c>
      <c r="H82" s="93">
        <v>0.54</v>
      </c>
      <c r="I82">
        <v>21.8</v>
      </c>
    </row>
    <row r="83" spans="2:9" ht="18" customHeight="1">
      <c r="B83" s="90" t="s">
        <v>416</v>
      </c>
      <c r="C83" s="91"/>
      <c r="D83" s="91">
        <f>C78/H83</f>
        <v>165.56603773584905</v>
      </c>
      <c r="E83" s="90"/>
      <c r="F83" s="90" t="s">
        <v>417</v>
      </c>
      <c r="G83" s="92">
        <f>C77/I83</f>
        <v>233.92405063291139</v>
      </c>
      <c r="H83" s="93">
        <v>0.53</v>
      </c>
      <c r="I83">
        <v>19.75</v>
      </c>
    </row>
    <row r="84" spans="2:9" ht="18" customHeight="1">
      <c r="B84" s="90" t="s">
        <v>418</v>
      </c>
      <c r="C84" s="91"/>
      <c r="D84" s="91">
        <f>C78/H84</f>
        <v>168.75</v>
      </c>
      <c r="E84" s="90"/>
      <c r="F84" s="90" t="s">
        <v>419</v>
      </c>
      <c r="G84" s="92">
        <f>C77/I84</f>
        <v>231.40959498312012</v>
      </c>
      <c r="H84" s="93">
        <v>0.52</v>
      </c>
      <c r="I84">
        <v>19.964600000000001</v>
      </c>
    </row>
    <row r="85" spans="2:9" ht="18" customHeight="1">
      <c r="B85" s="90" t="s">
        <v>420</v>
      </c>
      <c r="C85" s="91"/>
      <c r="D85" s="91">
        <f>C78/H85</f>
        <v>204.06976744186048</v>
      </c>
      <c r="E85" s="90"/>
      <c r="F85" s="90" t="s">
        <v>421</v>
      </c>
      <c r="G85" s="92">
        <f>C77/I85</f>
        <v>231.40959498312012</v>
      </c>
      <c r="H85" s="93">
        <v>0.43</v>
      </c>
      <c r="I85">
        <v>19.964600000000001</v>
      </c>
    </row>
    <row r="86" spans="2:9" ht="18" customHeight="1">
      <c r="B86" s="90" t="s">
        <v>422</v>
      </c>
      <c r="C86" s="91"/>
      <c r="D86" s="91">
        <f>C78/H86</f>
        <v>168.75</v>
      </c>
      <c r="E86" s="90"/>
      <c r="F86" s="90"/>
      <c r="G86" s="92"/>
      <c r="H86" s="93">
        <v>0.52</v>
      </c>
    </row>
    <row r="87" spans="2:9" ht="18" customHeight="1">
      <c r="B87" s="90" t="s">
        <v>423</v>
      </c>
      <c r="C87" s="91"/>
      <c r="D87" s="91">
        <f>C78/H87</f>
        <v>250.71428571428572</v>
      </c>
      <c r="E87" s="90"/>
      <c r="F87" s="90"/>
      <c r="G87" s="92"/>
      <c r="H87" s="93">
        <v>0.35</v>
      </c>
    </row>
    <row r="88" spans="2:9" ht="18" customHeight="1">
      <c r="B88" s="90" t="s">
        <v>424</v>
      </c>
      <c r="C88" s="91"/>
      <c r="D88" s="91">
        <f>C78/H88</f>
        <v>258.08823529411762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425</v>
      </c>
      <c r="G90" s="92"/>
      <c r="H90" s="93"/>
    </row>
    <row r="91" spans="2:9" ht="18" customHeight="1">
      <c r="B91" s="90" t="s">
        <v>426</v>
      </c>
      <c r="C91" s="91"/>
      <c r="D91" s="91">
        <f>C78/H91</f>
        <v>151.29310344827587</v>
      </c>
      <c r="E91" s="90"/>
      <c r="F91" s="90" t="s">
        <v>427</v>
      </c>
      <c r="G91" s="92">
        <f>C78/I91</f>
        <v>106.55737704918033</v>
      </c>
      <c r="H91" s="93">
        <v>0.57999999999999996</v>
      </c>
      <c r="I91">
        <v>0.82350000000000001</v>
      </c>
    </row>
    <row r="92" spans="2:9" ht="18" customHeight="1">
      <c r="B92" s="90" t="s">
        <v>428</v>
      </c>
      <c r="C92" s="91"/>
      <c r="D92" s="91">
        <v>2</v>
      </c>
      <c r="E92" s="90"/>
      <c r="F92" s="90" t="s">
        <v>429</v>
      </c>
      <c r="G92" s="92">
        <f>C78/I92</f>
        <v>104.0308239478364</v>
      </c>
      <c r="H92" s="93"/>
      <c r="I92">
        <v>0.84350000000000003</v>
      </c>
    </row>
    <row r="93" spans="2:9" ht="18" customHeight="1">
      <c r="B93" s="90" t="s">
        <v>430</v>
      </c>
      <c r="C93" s="91"/>
      <c r="D93" s="91">
        <v>1.5</v>
      </c>
      <c r="E93" s="90"/>
      <c r="F93" s="90" t="s">
        <v>431</v>
      </c>
      <c r="G93" s="92">
        <f>C78/I93</f>
        <v>97.782482727880549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432</v>
      </c>
      <c r="C96" s="91"/>
      <c r="D96" s="91"/>
      <c r="E96" s="90"/>
      <c r="F96" s="90" t="s">
        <v>433</v>
      </c>
      <c r="G96" s="92"/>
      <c r="H96" s="93"/>
    </row>
    <row r="97" spans="2:10" ht="18" customHeight="1">
      <c r="B97" s="90" t="s">
        <v>434</v>
      </c>
      <c r="C97" s="91"/>
      <c r="D97" s="91">
        <f>$D$5*J97</f>
        <v>127.2375</v>
      </c>
      <c r="E97" s="90"/>
      <c r="F97" s="90" t="s">
        <v>427</v>
      </c>
      <c r="G97" s="92">
        <f>C78/I97</f>
        <v>112.5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435</v>
      </c>
      <c r="C98" s="91"/>
      <c r="D98" s="91">
        <f>$D$5*J98</f>
        <v>128.99250000000001</v>
      </c>
      <c r="E98" s="90"/>
      <c r="F98" s="90" t="s">
        <v>436</v>
      </c>
      <c r="G98" s="92">
        <f>C78/I98</f>
        <v>107.39199608371068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437</v>
      </c>
      <c r="C99" s="91"/>
      <c r="D99" s="91">
        <f>$D$5*J99</f>
        <v>130.7475</v>
      </c>
      <c r="E99" s="90"/>
      <c r="F99" s="90" t="s">
        <v>438</v>
      </c>
      <c r="G99" s="92">
        <f>C78*108%</f>
        <v>94.77000000000001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439</v>
      </c>
      <c r="C100" s="91"/>
      <c r="D100" s="91">
        <f>$D$5*J100</f>
        <v>105.3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440</v>
      </c>
      <c r="C101" s="91"/>
      <c r="D101" s="91">
        <f>D97/4</f>
        <v>31.809374999999999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441</v>
      </c>
      <c r="G102" s="92">
        <f>C78/I102</f>
        <v>146.25</v>
      </c>
      <c r="H102" s="93"/>
      <c r="I102" s="93">
        <v>0.6</v>
      </c>
    </row>
    <row r="103" spans="2:10" ht="18" customHeight="1">
      <c r="B103" s="90" t="s">
        <v>442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404</v>
      </c>
      <c r="C104" s="91"/>
      <c r="D104" s="91">
        <f>D110+2</f>
        <v>126.11598302687412</v>
      </c>
      <c r="E104" s="90"/>
      <c r="F104" s="90" t="s">
        <v>443</v>
      </c>
      <c r="G104" s="92">
        <f>C78/I104</f>
        <v>146.25</v>
      </c>
      <c r="H104" s="93">
        <v>0.6</v>
      </c>
      <c r="I104">
        <v>0.6</v>
      </c>
    </row>
    <row r="105" spans="2:10" ht="18" customHeight="1">
      <c r="B105" s="90" t="s">
        <v>407</v>
      </c>
      <c r="C105" s="91"/>
      <c r="D105" s="91">
        <f>D111+2</f>
        <v>124.89915966386555</v>
      </c>
      <c r="E105" s="90"/>
      <c r="F105" s="90"/>
      <c r="G105" s="92"/>
      <c r="H105" s="93">
        <v>0.62</v>
      </c>
    </row>
    <row r="106" spans="2:10" ht="18" customHeight="1">
      <c r="B106" s="90" t="s">
        <v>409</v>
      </c>
      <c r="C106" s="91"/>
      <c r="D106" s="91">
        <f>D112+2</f>
        <v>123.70596393897365</v>
      </c>
      <c r="E106" s="90"/>
      <c r="F106" s="90" t="s">
        <v>444</v>
      </c>
      <c r="G106" s="92">
        <v>3</v>
      </c>
      <c r="H106" s="93">
        <v>0.65</v>
      </c>
    </row>
    <row r="107" spans="2:10" ht="18" customHeight="1">
      <c r="B107" s="90" t="s">
        <v>445</v>
      </c>
      <c r="C107" s="91"/>
      <c r="D107" s="91">
        <f>D113+2</f>
        <v>116.85602094240838</v>
      </c>
      <c r="E107" s="90"/>
      <c r="F107" s="90" t="s">
        <v>446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401</v>
      </c>
      <c r="C109" s="91"/>
      <c r="D109" s="91"/>
      <c r="E109" s="90"/>
      <c r="F109" s="90" t="s">
        <v>402</v>
      </c>
      <c r="G109" s="92"/>
      <c r="H109" s="93"/>
    </row>
    <row r="110" spans="2:10" ht="18" customHeight="1">
      <c r="B110" s="90" t="s">
        <v>404</v>
      </c>
      <c r="C110" s="91"/>
      <c r="D110" s="91">
        <f>C78/H110</f>
        <v>124.11598302687412</v>
      </c>
      <c r="E110" s="90"/>
      <c r="F110" s="90" t="s">
        <v>405</v>
      </c>
      <c r="G110" s="92">
        <f>C78/I110</f>
        <v>136.6822429906542</v>
      </c>
      <c r="H110" s="93">
        <v>0.70699999999999996</v>
      </c>
      <c r="I110">
        <v>0.64200000000000002</v>
      </c>
    </row>
    <row r="111" spans="2:10" ht="18" customHeight="1">
      <c r="B111" s="90" t="s">
        <v>407</v>
      </c>
      <c r="C111" s="91"/>
      <c r="D111" s="91">
        <f>C78/H111</f>
        <v>122.89915966386555</v>
      </c>
      <c r="E111" s="90"/>
      <c r="F111" s="90" t="s">
        <v>408</v>
      </c>
      <c r="G111" s="92">
        <f>C78/I111</f>
        <v>135.6259659969088</v>
      </c>
      <c r="H111" s="93">
        <v>0.71399999999999997</v>
      </c>
      <c r="I111">
        <v>0.64700000000000002</v>
      </c>
    </row>
    <row r="112" spans="2:10" ht="18" customHeight="1">
      <c r="B112" s="90" t="s">
        <v>409</v>
      </c>
      <c r="C112" s="91"/>
      <c r="D112" s="91">
        <f>C78/H112</f>
        <v>121.70596393897365</v>
      </c>
      <c r="E112" s="90"/>
      <c r="F112" s="90" t="s">
        <v>410</v>
      </c>
      <c r="G112" s="92">
        <f>C78/I112</f>
        <v>132.15361445783131</v>
      </c>
      <c r="H112" s="93">
        <v>0.72099999999999997</v>
      </c>
      <c r="I112">
        <v>0.66400000000000003</v>
      </c>
    </row>
    <row r="113" spans="2:9" ht="18" customHeight="1">
      <c r="B113" s="90" t="s">
        <v>411</v>
      </c>
      <c r="C113" s="91"/>
      <c r="D113" s="91">
        <f>C78/H113</f>
        <v>114.85602094240838</v>
      </c>
      <c r="E113" s="90"/>
      <c r="F113" s="90" t="s">
        <v>411</v>
      </c>
      <c r="G113" s="92">
        <f>C78/I113</f>
        <v>125.17831669044223</v>
      </c>
      <c r="H113" s="93">
        <v>0.76400000000000001</v>
      </c>
      <c r="I113">
        <v>0.70099999999999996</v>
      </c>
    </row>
    <row r="114" spans="2:9">
      <c r="C114" s="80"/>
      <c r="G114" s="81"/>
      <c r="H114" s="82"/>
    </row>
    <row r="115" spans="2:9" ht="18" customHeight="1">
      <c r="B115" s="90" t="s">
        <v>412</v>
      </c>
      <c r="C115" s="80"/>
      <c r="D115" s="90" t="s">
        <v>413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447</v>
      </c>
    </row>
    <row r="2" spans="1:8">
      <c r="A2" t="s">
        <v>162</v>
      </c>
      <c r="B2">
        <v>0.16</v>
      </c>
    </row>
    <row r="3" spans="1:8">
      <c r="A3" t="s">
        <v>100</v>
      </c>
      <c r="B3">
        <v>0.125</v>
      </c>
    </row>
    <row r="4" spans="1:8">
      <c r="A4" t="s">
        <v>161</v>
      </c>
      <c r="B4">
        <v>0.1</v>
      </c>
    </row>
    <row r="5" spans="1:8">
      <c r="A5" t="s">
        <v>160</v>
      </c>
      <c r="B5">
        <v>0.09</v>
      </c>
    </row>
    <row r="6" spans="1:8">
      <c r="A6" t="s">
        <v>184</v>
      </c>
      <c r="B6">
        <v>0.08</v>
      </c>
    </row>
    <row r="7" spans="1:8">
      <c r="A7" t="s">
        <v>112</v>
      </c>
      <c r="B7">
        <v>7.4999999999999997E-2</v>
      </c>
    </row>
    <row r="8" spans="1:8">
      <c r="A8" t="s">
        <v>217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111</v>
      </c>
      <c r="B10">
        <v>0.05</v>
      </c>
    </row>
    <row r="11" spans="1:8">
      <c r="A11" t="s">
        <v>190</v>
      </c>
      <c r="B11">
        <v>4.4999999999999998E-2</v>
      </c>
    </row>
    <row r="12" spans="1:8">
      <c r="A12" t="s">
        <v>92</v>
      </c>
      <c r="B12">
        <v>0.04</v>
      </c>
      <c r="H12" t="s">
        <v>112</v>
      </c>
    </row>
    <row r="13" spans="1:8">
      <c r="A13" t="s">
        <v>159</v>
      </c>
      <c r="B13">
        <v>3.5000000000000003E-2</v>
      </c>
    </row>
    <row r="14" spans="1:8">
      <c r="A14" t="s">
        <v>158</v>
      </c>
      <c r="B14">
        <v>0.03</v>
      </c>
    </row>
    <row r="15" spans="1:8">
      <c r="A15" t="s">
        <v>182</v>
      </c>
      <c r="B15">
        <v>2.5000000000000001E-2</v>
      </c>
    </row>
    <row r="16" spans="1:8">
      <c r="A16" t="s">
        <v>191</v>
      </c>
      <c r="B16">
        <v>0.02</v>
      </c>
    </row>
    <row r="17" spans="1:6">
      <c r="A17" t="s">
        <v>235</v>
      </c>
      <c r="B17">
        <v>1.7999999999999999E-2</v>
      </c>
    </row>
    <row r="18" spans="1:6">
      <c r="A18" t="s">
        <v>174</v>
      </c>
      <c r="B18">
        <v>1.4999999999999999E-2</v>
      </c>
      <c r="F18">
        <v>3.2150699999999997E-2</v>
      </c>
    </row>
    <row r="19" spans="1:6">
      <c r="A19" t="s">
        <v>192</v>
      </c>
      <c r="B19">
        <v>1.4E-2</v>
      </c>
    </row>
    <row r="20" spans="1:6">
      <c r="A20" t="s">
        <v>193</v>
      </c>
      <c r="B20">
        <v>1.2E-2</v>
      </c>
      <c r="E20">
        <v>0.156</v>
      </c>
      <c r="F20">
        <f t="shared" ref="F20:F26" si="0">E20*$F$18</f>
        <v>5.0155091999999997E-3</v>
      </c>
    </row>
    <row r="21" spans="1:6">
      <c r="A21" t="s">
        <v>194</v>
      </c>
      <c r="B21">
        <v>0.01</v>
      </c>
      <c r="E21">
        <v>0.33</v>
      </c>
      <c r="F21">
        <f t="shared" si="0"/>
        <v>1.0609730999999999E-2</v>
      </c>
    </row>
    <row r="22" spans="1:6">
      <c r="A22" t="s">
        <v>202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199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121</v>
      </c>
      <c r="B31">
        <v>0.06</v>
      </c>
    </row>
    <row r="32" spans="1:6">
      <c r="A32" t="s">
        <v>122</v>
      </c>
      <c r="B32">
        <v>0.08</v>
      </c>
    </row>
    <row r="33" spans="1:2">
      <c r="A33" t="s">
        <v>123</v>
      </c>
      <c r="B33">
        <v>0.1</v>
      </c>
    </row>
    <row r="34" spans="1:2">
      <c r="A34" t="s">
        <v>124</v>
      </c>
      <c r="B34">
        <v>0.12</v>
      </c>
    </row>
    <row r="35" spans="1:2">
      <c r="A35" t="s">
        <v>125</v>
      </c>
      <c r="B35">
        <v>0.16</v>
      </c>
    </row>
    <row r="36" spans="1:2">
      <c r="A36" t="s">
        <v>150</v>
      </c>
      <c r="B36">
        <v>0.2</v>
      </c>
    </row>
    <row r="37" spans="1:2">
      <c r="A37" t="s">
        <v>151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2026-01-13T15:18:29Z</dcterms:modified>
</cp:coreProperties>
</file>